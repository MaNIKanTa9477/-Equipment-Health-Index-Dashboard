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Equipment Master" sheetId="2" r:id="rId2"/>
    <sheet name="Monthly Performance" sheetId="3" r:id="rId3"/>
    <sheet name="Failure Log" sheetId="4" r:id="rId4"/>
    <sheet name="KPI Analysis" sheetId="5" r:id="rId5"/>
    <sheet name="Fuel Tracking" sheetId="6" r:id="rId6"/>
    <sheet name="Calculations" sheetId="7" r:id="rId7"/>
  </sheets>
  <calcPr calcId="124519" fullCalcOnLoad="1"/>
</workbook>
</file>

<file path=xl/sharedStrings.xml><?xml version="1.0" encoding="utf-8"?>
<sst xmlns="http://schemas.openxmlformats.org/spreadsheetml/2006/main" count="1637" uniqueCount="885">
  <si>
    <t>Reporting Period: December 2024</t>
  </si>
  <si>
    <t>KPI SUMMARY CARDS</t>
  </si>
  <si>
    <t>Metric</t>
  </si>
  <si>
    <t>Overall Uptime %</t>
  </si>
  <si>
    <t>Avg MTBF (hours)</t>
  </si>
  <si>
    <t>Avg MTTR (hours)</t>
  </si>
  <si>
    <t>Total Fuel Usage (L)</t>
  </si>
  <si>
    <t>Maintenance Cost ($)</t>
  </si>
  <si>
    <t>EQUIPMENT PERFORMANCE RANKING</t>
  </si>
  <si>
    <t>Rank</t>
  </si>
  <si>
    <t>1</t>
  </si>
  <si>
    <t>2</t>
  </si>
  <si>
    <t>3</t>
  </si>
  <si>
    <t>4</t>
  </si>
  <si>
    <t>ALERT INDICATORS</t>
  </si>
  <si>
    <t>Equipment</t>
  </si>
  <si>
    <t>Compressor C</t>
  </si>
  <si>
    <t>Pump B</t>
  </si>
  <si>
    <t>Motor D</t>
  </si>
  <si>
    <t>Current</t>
  </si>
  <si>
    <t>97.3%</t>
  </si>
  <si>
    <t>454</t>
  </si>
  <si>
    <t>2.6</t>
  </si>
  <si>
    <t>2847</t>
  </si>
  <si>
    <t>$45,230</t>
  </si>
  <si>
    <t>Pump A</t>
  </si>
  <si>
    <t>Issue</t>
  </si>
  <si>
    <t>MTBF Below Target</t>
  </si>
  <si>
    <t>Fuel Usage Spike</t>
  </si>
  <si>
    <t>Status</t>
  </si>
  <si>
    <t>Target</t>
  </si>
  <si>
    <t>96.5%</t>
  </si>
  <si>
    <t>400</t>
  </si>
  <si>
    <t>3.0</t>
  </si>
  <si>
    <t>2800</t>
  </si>
  <si>
    <t>$48,000</t>
  </si>
  <si>
    <t>Uptime %</t>
  </si>
  <si>
    <t>97.9%</t>
  </si>
  <si>
    <t>98.1%</t>
  </si>
  <si>
    <t>97.6%</t>
  </si>
  <si>
    <t>96.2%</t>
  </si>
  <si>
    <t>Severity</t>
  </si>
  <si>
    <t>HIGH</t>
  </si>
  <si>
    <t>MEDIUM</t>
  </si>
  <si>
    <t>GOOD</t>
  </si>
  <si>
    <t>EXCELLENT</t>
  </si>
  <si>
    <t>WARNING</t>
  </si>
  <si>
    <t>MTBF (h)</t>
  </si>
  <si>
    <t>598</t>
  </si>
  <si>
    <t>487</t>
  </si>
  <si>
    <t>421</t>
  </si>
  <si>
    <t>312</t>
  </si>
  <si>
    <t>Action Required</t>
  </si>
  <si>
    <t>Schedule Major Maintenance</t>
  </si>
  <si>
    <t>Investigate Efficiency</t>
  </si>
  <si>
    <t>Continue Monitoring</t>
  </si>
  <si>
    <t>Trend</t>
  </si>
  <si>
    <t>↑ +0.8%</t>
  </si>
  <si>
    <t>↑ +8%</t>
  </si>
  <si>
    <t>↓ -13%</t>
  </si>
  <si>
    <t>↑ +1.7%</t>
  </si>
  <si>
    <t>↓ -5.8%</t>
  </si>
  <si>
    <t>MTTR (h)</t>
  </si>
  <si>
    <t>1.9</t>
  </si>
  <si>
    <t>2.3</t>
  </si>
  <si>
    <t>2.1</t>
  </si>
  <si>
    <t>3.2</t>
  </si>
  <si>
    <t>Target Date</t>
  </si>
  <si>
    <t>2025-01-15</t>
  </si>
  <si>
    <t>2025-01-08</t>
  </si>
  <si>
    <t>Ongoing</t>
  </si>
  <si>
    <t>Health Score</t>
  </si>
  <si>
    <t>98/100</t>
  </si>
  <si>
    <t>97/100</t>
  </si>
  <si>
    <t>96/100</t>
  </si>
  <si>
    <t>85/100</t>
  </si>
  <si>
    <t>89/100</t>
  </si>
  <si>
    <t>Health Index</t>
  </si>
  <si>
    <t>99/100</t>
  </si>
  <si>
    <t>95/100</t>
  </si>
  <si>
    <t>88/100</t>
  </si>
  <si>
    <t>EQUIPMENT HEALTH INDEX DASHBOARD</t>
  </si>
  <si>
    <t>Equipment ID</t>
  </si>
  <si>
    <t>EQ-001</t>
  </si>
  <si>
    <t>EQ-002</t>
  </si>
  <si>
    <t>EQ-003</t>
  </si>
  <si>
    <t>EQ-004</t>
  </si>
  <si>
    <t>EQ-005</t>
  </si>
  <si>
    <t>EQ-006</t>
  </si>
  <si>
    <t>Equipment Name</t>
  </si>
  <si>
    <t>Generator E</t>
  </si>
  <si>
    <t>Cooler F</t>
  </si>
  <si>
    <t>Type</t>
  </si>
  <si>
    <t>Centrifugal Pump</t>
  </si>
  <si>
    <t>Rotary Screw</t>
  </si>
  <si>
    <t>Electric Motor</t>
  </si>
  <si>
    <t>Diesel Generator</t>
  </si>
  <si>
    <t>Heat Exchanger</t>
  </si>
  <si>
    <t>Location</t>
  </si>
  <si>
    <t>Plant 1 - Building A</t>
  </si>
  <si>
    <t>Plant 2 - Building B</t>
  </si>
  <si>
    <t>Plant 1 - Building C</t>
  </si>
  <si>
    <t>Plant 2 - Backup</t>
  </si>
  <si>
    <t>Installation Date</t>
  </si>
  <si>
    <t>2021-03-15</t>
  </si>
  <si>
    <t>2020-06-22</t>
  </si>
  <si>
    <t>2019-11-10</t>
  </si>
  <si>
    <t>2022-01-05</t>
  </si>
  <si>
    <t>2020-09-18</t>
  </si>
  <si>
    <t>2021-07-30</t>
  </si>
  <si>
    <t>Manufacturer</t>
  </si>
  <si>
    <t>Flowserve</t>
  </si>
  <si>
    <t>Xylem</t>
  </si>
  <si>
    <t>Atlas Copco</t>
  </si>
  <si>
    <t>Siemens</t>
  </si>
  <si>
    <t>Cummins</t>
  </si>
  <si>
    <t>Swep</t>
  </si>
  <si>
    <t>Model Number</t>
  </si>
  <si>
    <t>FS-1000</t>
  </si>
  <si>
    <t>XY-850</t>
  </si>
  <si>
    <t>AC-500</t>
  </si>
  <si>
    <t>S-2200</t>
  </si>
  <si>
    <t>C-500KW</t>
  </si>
  <si>
    <t>SW-200</t>
  </si>
  <si>
    <t>Warranty Status</t>
  </si>
  <si>
    <t>Active</t>
  </si>
  <si>
    <t>Expiring</t>
  </si>
  <si>
    <t>Target Uptime %</t>
  </si>
  <si>
    <t>97%</t>
  </si>
  <si>
    <t>95%</t>
  </si>
  <si>
    <t>98%</t>
  </si>
  <si>
    <t>90%</t>
  </si>
  <si>
    <t>96%</t>
  </si>
  <si>
    <t>Target MTBF (h)</t>
  </si>
  <si>
    <t>250</t>
  </si>
  <si>
    <t>500</t>
  </si>
  <si>
    <t>Target MTTR (h)</t>
  </si>
  <si>
    <t>4.0</t>
  </si>
  <si>
    <t>2.5</t>
  </si>
  <si>
    <t>EQUIPMENT MASTER DATA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</si>
  <si>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</si>
  <si>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</si>
  <si>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</si>
  <si>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</si>
  <si>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</si>
  <si>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</si>
  <si>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</si>
  <si>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</si>
  <si>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</si>
  <si>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</si>
  <si>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</si>
  <si>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</si>
  <si>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</si>
  <si>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Operating Hours</t>
  </si>
  <si>
    <t>700</t>
  </si>
  <si>
    <t>672</t>
  </si>
  <si>
    <t>696</t>
  </si>
  <si>
    <t>720</t>
  </si>
  <si>
    <t>744</t>
  </si>
  <si>
    <t>Downtime Hours</t>
  </si>
  <si>
    <t>24</t>
  </si>
  <si>
    <t>18</t>
  </si>
  <si>
    <t>12</t>
  </si>
  <si>
    <t>8</t>
  </si>
  <si>
    <t>6</t>
  </si>
  <si>
    <t>5</t>
  </si>
  <si>
    <t>10</t>
  </si>
  <si>
    <t>9</t>
  </si>
  <si>
    <t>7</t>
  </si>
  <si>
    <t>11</t>
  </si>
  <si>
    <t>28</t>
  </si>
  <si>
    <t>22</t>
  </si>
  <si>
    <t>16</t>
  </si>
  <si>
    <t>14</t>
  </si>
  <si>
    <t>13</t>
  </si>
  <si>
    <t>48</t>
  </si>
  <si>
    <t>44</t>
  </si>
  <si>
    <t>42</t>
  </si>
  <si>
    <t>40</t>
  </si>
  <si>
    <t>38</t>
  </si>
  <si>
    <t>35</t>
  </si>
  <si>
    <t>36</t>
  </si>
  <si>
    <t>50</t>
  </si>
  <si>
    <t>96.7%</t>
  </si>
  <si>
    <t>97.4%</t>
  </si>
  <si>
    <t>98.3%</t>
  </si>
  <si>
    <t>98.9%</t>
  </si>
  <si>
    <t>99.2%</t>
  </si>
  <si>
    <t>99.3%</t>
  </si>
  <si>
    <t>98.7%</t>
  </si>
  <si>
    <t>98.8%</t>
  </si>
  <si>
    <t>99.0%</t>
  </si>
  <si>
    <t>98.5%</t>
  </si>
  <si>
    <t>96.1%</t>
  </si>
  <si>
    <t>96.8%</t>
  </si>
  <si>
    <t>97.7%</t>
  </si>
  <si>
    <t>98.4%</t>
  </si>
  <si>
    <t>98.6%</t>
  </si>
  <si>
    <t>93.8%</t>
  </si>
  <si>
    <t>94.0%</t>
  </si>
  <si>
    <t>94.2%</t>
  </si>
  <si>
    <t>94.9%</t>
  </si>
  <si>
    <t>95.3%</t>
  </si>
  <si>
    <t>95.9%</t>
  </si>
  <si>
    <t>93.5%</t>
  </si>
  <si>
    <t>94.4%</t>
  </si>
  <si>
    <t>94.1%</t>
  </si>
  <si>
    <t>95.0%</t>
  </si>
  <si>
    <t>93.3%</t>
  </si>
  <si>
    <t>99.5%</t>
  </si>
  <si>
    <t>99.6%</t>
  </si>
  <si>
    <t>99.7%</t>
  </si>
  <si>
    <t>Failures Count</t>
  </si>
  <si>
    <t>0</t>
  </si>
  <si>
    <t>MTBF (hours)</t>
  </si>
  <si>
    <t>350</t>
  </si>
  <si>
    <t>#DIV/0!</t>
  </si>
  <si>
    <t>336</t>
  </si>
  <si>
    <t>240</t>
  </si>
  <si>
    <t>232</t>
  </si>
  <si>
    <t>360</t>
  </si>
  <si>
    <t>372</t>
  </si>
  <si>
    <t>248</t>
  </si>
  <si>
    <t>Total Repair Hours</t>
  </si>
  <si>
    <t>6.5</t>
  </si>
  <si>
    <t>4.2</t>
  </si>
  <si>
    <t>3.8</t>
  </si>
  <si>
    <t>2.8</t>
  </si>
  <si>
    <t>3.1</t>
  </si>
  <si>
    <t>7.2</t>
  </si>
  <si>
    <t>6.8</t>
  </si>
  <si>
    <t>4.5</t>
  </si>
  <si>
    <t>2.9</t>
  </si>
  <si>
    <t>3.5</t>
  </si>
  <si>
    <t>3.3</t>
  </si>
  <si>
    <t>10.2</t>
  </si>
  <si>
    <t>9.8</t>
  </si>
  <si>
    <t>8.5</t>
  </si>
  <si>
    <t>7.5</t>
  </si>
  <si>
    <t>11.2</t>
  </si>
  <si>
    <t>8.1</t>
  </si>
  <si>
    <t>9.3</t>
  </si>
  <si>
    <t>3.9</t>
  </si>
  <si>
    <t>12.8</t>
  </si>
  <si>
    <t>1.8</t>
  </si>
  <si>
    <t>MTTR (hours)</t>
  </si>
  <si>
    <t>3.25</t>
  </si>
  <si>
    <t>3.6</t>
  </si>
  <si>
    <t>3.4</t>
  </si>
  <si>
    <t>4.25</t>
  </si>
  <si>
    <t>3.75</t>
  </si>
  <si>
    <t>3.7</t>
  </si>
  <si>
    <t>4.05</t>
  </si>
  <si>
    <t>4.65</t>
  </si>
  <si>
    <t>4.27</t>
  </si>
  <si>
    <t>Fuel Usage (L)</t>
  </si>
  <si>
    <t>210</t>
  </si>
  <si>
    <t>205</t>
  </si>
  <si>
    <t>215</t>
  </si>
  <si>
    <t>220</t>
  </si>
  <si>
    <t>218</t>
  </si>
  <si>
    <t>225</t>
  </si>
  <si>
    <t>228</t>
  </si>
  <si>
    <t>226</t>
  </si>
  <si>
    <t>224</t>
  </si>
  <si>
    <t>231</t>
  </si>
  <si>
    <t>195</t>
  </si>
  <si>
    <t>188</t>
  </si>
  <si>
    <t>202</t>
  </si>
  <si>
    <t>222</t>
  </si>
  <si>
    <t>216</t>
  </si>
  <si>
    <t>212</t>
  </si>
  <si>
    <t>320</t>
  </si>
  <si>
    <t>308</t>
  </si>
  <si>
    <t>315</t>
  </si>
  <si>
    <t>325</t>
  </si>
  <si>
    <t>318</t>
  </si>
  <si>
    <t>328</t>
  </si>
  <si>
    <t>335</t>
  </si>
  <si>
    <t>340</t>
  </si>
  <si>
    <t>330</t>
  </si>
  <si>
    <t>332</t>
  </si>
  <si>
    <t>180</t>
  </si>
  <si>
    <t>175</t>
  </si>
  <si>
    <t>182</t>
  </si>
  <si>
    <t>185</t>
  </si>
  <si>
    <t>178</t>
  </si>
  <si>
    <t>186</t>
  </si>
  <si>
    <t>183</t>
  </si>
  <si>
    <t>179</t>
  </si>
  <si>
    <t>184</t>
  </si>
  <si>
    <t>181</t>
  </si>
  <si>
    <t>3200</t>
  </si>
  <si>
    <t>2500</t>
  </si>
  <si>
    <t>2200</t>
  </si>
  <si>
    <t>1950</t>
  </si>
  <si>
    <t>1800</t>
  </si>
  <si>
    <t>2400</t>
  </si>
  <si>
    <t>2150</t>
  </si>
  <si>
    <t>1750</t>
  </si>
  <si>
    <t>2300</t>
  </si>
  <si>
    <t>1900</t>
  </si>
  <si>
    <t>2450</t>
  </si>
  <si>
    <t>3400</t>
  </si>
  <si>
    <t>3100</t>
  </si>
  <si>
    <t>2700</t>
  </si>
  <si>
    <t>2000</t>
  </si>
  <si>
    <t>2250</t>
  </si>
  <si>
    <t>1850</t>
  </si>
  <si>
    <t>2350</t>
  </si>
  <si>
    <t>4200</t>
  </si>
  <si>
    <t>4050</t>
  </si>
  <si>
    <t>3800</t>
  </si>
  <si>
    <t>3500</t>
  </si>
  <si>
    <t>3300</t>
  </si>
  <si>
    <t>2900</t>
  </si>
  <si>
    <t>3600</t>
  </si>
  <si>
    <t>4300</t>
  </si>
  <si>
    <t>3700</t>
  </si>
  <si>
    <t>3950</t>
  </si>
  <si>
    <t>4500</t>
  </si>
  <si>
    <t>1500</t>
  </si>
  <si>
    <t>1200</t>
  </si>
  <si>
    <t>1400</t>
  </si>
  <si>
    <t>1300</t>
  </si>
  <si>
    <t>1100</t>
  </si>
  <si>
    <t>950</t>
  </si>
  <si>
    <t>1250</t>
  </si>
  <si>
    <t>900</t>
  </si>
  <si>
    <t>1150</t>
  </si>
  <si>
    <t>850</t>
  </si>
  <si>
    <t>MONTHLY PERFORMANCE DATA - 2024</t>
  </si>
  <si>
    <t>Log ID</t>
  </si>
  <si>
    <t>FL-001</t>
  </si>
  <si>
    <t>FL-002</t>
  </si>
  <si>
    <t>FL-003</t>
  </si>
  <si>
    <t>FL-004</t>
  </si>
  <si>
    <t>FL-005</t>
  </si>
  <si>
    <t>FL-006</t>
  </si>
  <si>
    <t>FL-007</t>
  </si>
  <si>
    <t>FL-008</t>
  </si>
  <si>
    <t>FL-009</t>
  </si>
  <si>
    <t>FL-010</t>
  </si>
  <si>
    <t>FL-011</t>
  </si>
  <si>
    <t>FL-012</t>
  </si>
  <si>
    <t>FL-013</t>
  </si>
  <si>
    <t>FL-014</t>
  </si>
  <si>
    <t>FL-015</t>
  </si>
  <si>
    <t>FL-016</t>
  </si>
  <si>
    <t>FL-017</t>
  </si>
  <si>
    <t>FL-018</t>
  </si>
  <si>
    <t>FL-019</t>
  </si>
  <si>
    <t>FL-020</t>
  </si>
  <si>
    <t>FL-021</t>
  </si>
  <si>
    <t>FL-022</t>
  </si>
  <si>
    <t>FL-023</t>
  </si>
  <si>
    <t>FL-024</t>
  </si>
  <si>
    <t>FL-025</t>
  </si>
  <si>
    <t>Failure Date</t>
  </si>
  <si>
    <t>2024-01-18</t>
  </si>
  <si>
    <t>2024-02-10</t>
  </si>
  <si>
    <t>2024-01-25</t>
  </si>
  <si>
    <t>2024-01-28</t>
  </si>
  <si>
    <t>2024-01-15</t>
  </si>
  <si>
    <t>2024-01-22</t>
  </si>
  <si>
    <t>2024-01-30</t>
  </si>
  <si>
    <t>2024-03-14</t>
  </si>
  <si>
    <t>2024-03-20</t>
  </si>
  <si>
    <t>2024-03-28</t>
  </si>
  <si>
    <t>2024-04-05</t>
  </si>
  <si>
    <t>2024-04-18</t>
  </si>
  <si>
    <t>2024-04-22</t>
  </si>
  <si>
    <t>2024-05-12</t>
  </si>
  <si>
    <t>2024-05-28</t>
  </si>
  <si>
    <t>2024-06-10</t>
  </si>
  <si>
    <t>2024-07-08</t>
  </si>
  <si>
    <t>2024-07-25</t>
  </si>
  <si>
    <t>2024-08-14</t>
  </si>
  <si>
    <t>2024-10-22</t>
  </si>
  <si>
    <t>2024-10-30</t>
  </si>
  <si>
    <t>2024-10-18</t>
  </si>
  <si>
    <t>2024-12-08</t>
  </si>
  <si>
    <t>2024-12-15</t>
  </si>
  <si>
    <t>2024-12-22</t>
  </si>
  <si>
    <t>Failure Type</t>
  </si>
  <si>
    <t>Bearing Wear</t>
  </si>
  <si>
    <t>Impeller Damage</t>
  </si>
  <si>
    <t>Seal Failure</t>
  </si>
  <si>
    <t>Vibration High</t>
  </si>
  <si>
    <t>Oil Leakage</t>
  </si>
  <si>
    <t>Pressure Drop</t>
  </si>
  <si>
    <t>Motor Overheating</t>
  </si>
  <si>
    <t>Alignment</t>
  </si>
  <si>
    <t>Bearing Noise</t>
  </si>
  <si>
    <t>Pressure Switch</t>
  </si>
  <si>
    <t>Impeller Crack</t>
  </si>
  <si>
    <t>Cavitation</t>
  </si>
  <si>
    <t>Air Cooler Fin</t>
  </si>
  <si>
    <t>Coupling Slip</t>
  </si>
  <si>
    <t>Seal Leak</t>
  </si>
  <si>
    <t>Oil Level</t>
  </si>
  <si>
    <t>Temperature Rise</t>
  </si>
  <si>
    <t>Valve Sticking</t>
  </si>
  <si>
    <t>Impeller Balance</t>
  </si>
  <si>
    <t>Suction Filter</t>
  </si>
  <si>
    <t>Unloading Valve</t>
  </si>
  <si>
    <t>Routine Check</t>
  </si>
  <si>
    <t>Preventive Seal</t>
  </si>
  <si>
    <t>Annual Service</t>
  </si>
  <si>
    <t>Root Cause</t>
  </si>
  <si>
    <t>Normal Wear - Age 3 years</t>
  </si>
  <si>
    <t>Debris in fluid</t>
  </si>
  <si>
    <t>Misalignment</t>
  </si>
  <si>
    <t>Seal degradation</t>
  </si>
  <si>
    <t>Valve wear</t>
  </si>
  <si>
    <t>Cooling fan issue</t>
  </si>
  <si>
    <t>Installation settle</t>
  </si>
  <si>
    <t>Lubrication issue</t>
  </si>
  <si>
    <t>Electrical fault</t>
  </si>
  <si>
    <t>Material defect</t>
  </si>
  <si>
    <t>Low inlet pressure</t>
  </si>
  <si>
    <t>Impact damage</t>
  </si>
  <si>
    <t>Wear</t>
  </si>
  <si>
    <t>Aging</t>
  </si>
  <si>
    <t>Consumption high</t>
  </si>
  <si>
    <t>Bearing friction</t>
  </si>
  <si>
    <t>Normal operation</t>
  </si>
  <si>
    <t>Debris accumulation</t>
  </si>
  <si>
    <t>Production shift</t>
  </si>
  <si>
    <t>Clogging</t>
  </si>
  <si>
    <t>Control issue</t>
  </si>
  <si>
    <t>Preventive maint</t>
  </si>
  <si>
    <t>Scheduled change</t>
  </si>
  <si>
    <t>Repair Start</t>
  </si>
  <si>
    <t>2024-01-18 08:00</t>
  </si>
  <si>
    <t>2024-02-10 06:00</t>
  </si>
  <si>
    <t>2024-01-25 09:00</t>
  </si>
  <si>
    <t>2024-01-28 14:00</t>
  </si>
  <si>
    <t>2024-01-15 07:00</t>
  </si>
  <si>
    <t>2024-01-22 06:00</t>
  </si>
  <si>
    <t>2024-01-30 08:00</t>
  </si>
  <si>
    <t>2024-03-14 10:00</t>
  </si>
  <si>
    <t>2024-03-20 07:00</t>
  </si>
  <si>
    <t>2024-03-28 09:00</t>
  </si>
  <si>
    <t>2024-04-05 08:00</t>
  </si>
  <si>
    <t>2024-04-18 06:00</t>
  </si>
  <si>
    <t>2024-04-22 07:00</t>
  </si>
  <si>
    <t>2024-05-12 09:00</t>
  </si>
  <si>
    <t>2024-05-28 08:00</t>
  </si>
  <si>
    <t>2024-06-10 09:00</t>
  </si>
  <si>
    <t>2024-07-08 10:00</t>
  </si>
  <si>
    <t>2024-07-25 07:00</t>
  </si>
  <si>
    <t>2024-08-14 06:00</t>
  </si>
  <si>
    <t>2024-10-22 08:00</t>
  </si>
  <si>
    <t>2024-10-30 07:00</t>
  </si>
  <si>
    <t>2024-10-18 08:00</t>
  </si>
  <si>
    <t>2024-12-08 09:00</t>
  </si>
  <si>
    <t>2024-12-15 08:00</t>
  </si>
  <si>
    <t>2024-12-22 07:00</t>
  </si>
  <si>
    <t>Repair End</t>
  </si>
  <si>
    <t>2024-01-18 14:30</t>
  </si>
  <si>
    <t>2024-02-10 10:12</t>
  </si>
  <si>
    <t>2024-01-25 16:12</t>
  </si>
  <si>
    <t>2024-01-28 17:48</t>
  </si>
  <si>
    <t>2024-01-15 17:12</t>
  </si>
  <si>
    <t>2024-01-22 16:00</t>
  </si>
  <si>
    <t>2024-01-30 18:24</t>
  </si>
  <si>
    <t>2024-03-14 13:48</t>
  </si>
  <si>
    <t>2024-03-20 11:30</t>
  </si>
  <si>
    <t>2024-03-28 13:15</t>
  </si>
  <si>
    <t>2024-04-05 10:30</t>
  </si>
  <si>
    <t>2024-04-18 09:48</t>
  </si>
  <si>
    <t>2024-04-22 14:24</t>
  </si>
  <si>
    <t>2024-05-12 11:06</t>
  </si>
  <si>
    <t>2024-05-28 11:12</t>
  </si>
  <si>
    <t>2024-06-10 13:12</t>
  </si>
  <si>
    <t>2024-07-08 13:12</t>
  </si>
  <si>
    <t>2024-07-25 10:06</t>
  </si>
  <si>
    <t>2024-08-14 17:12</t>
  </si>
  <si>
    <t>2024-10-22 11:06</t>
  </si>
  <si>
    <t>2024-10-30 09:12</t>
  </si>
  <si>
    <t>2024-10-18 12:36</t>
  </si>
  <si>
    <t>2024-12-08 11:18</t>
  </si>
  <si>
    <t>2024-12-15 10:06</t>
  </si>
  <si>
    <t>2024-12-22 19:48</t>
  </si>
  <si>
    <t>Duration (h)</t>
  </si>
  <si>
    <t>10.0</t>
  </si>
  <si>
    <t>10.4</t>
  </si>
  <si>
    <t>7.4</t>
  </si>
  <si>
    <t>2.2</t>
  </si>
  <si>
    <t>4.6</t>
  </si>
  <si>
    <t>Parts Cost ($)</t>
  </si>
  <si>
    <t>450</t>
  </si>
  <si>
    <t>650</t>
  </si>
  <si>
    <t>580</t>
  </si>
  <si>
    <t>880</t>
  </si>
  <si>
    <t>750</t>
  </si>
  <si>
    <t>280</t>
  </si>
  <si>
    <t>420</t>
  </si>
  <si>
    <t>600</t>
  </si>
  <si>
    <t>480</t>
  </si>
  <si>
    <t>920</t>
  </si>
  <si>
    <t>380</t>
  </si>
  <si>
    <t>Labor Cost ($)</t>
  </si>
  <si>
    <t>390</t>
  </si>
  <si>
    <t>190</t>
  </si>
  <si>
    <t>620</t>
  </si>
  <si>
    <t>780</t>
  </si>
  <si>
    <t>270</t>
  </si>
  <si>
    <t>255</t>
  </si>
  <si>
    <t>150</t>
  </si>
  <si>
    <t>444</t>
  </si>
  <si>
    <t>126</t>
  </si>
  <si>
    <t>192</t>
  </si>
  <si>
    <t>168</t>
  </si>
  <si>
    <t>160</t>
  </si>
  <si>
    <t>840</t>
  </si>
  <si>
    <t>132</t>
  </si>
  <si>
    <t>276</t>
  </si>
  <si>
    <t>138</t>
  </si>
  <si>
    <t>960</t>
  </si>
  <si>
    <t>Total Cost ($)</t>
  </si>
  <si>
    <t>860</t>
  </si>
  <si>
    <t>940</t>
  </si>
  <si>
    <t>410</t>
  </si>
  <si>
    <t>1980</t>
  </si>
  <si>
    <t>470</t>
  </si>
  <si>
    <t>675</t>
  </si>
  <si>
    <t>628</t>
  </si>
  <si>
    <t>1024</t>
  </si>
  <si>
    <t>476</t>
  </si>
  <si>
    <t>518</t>
  </si>
  <si>
    <t>586</t>
  </si>
  <si>
    <t>1760</t>
  </si>
  <si>
    <t>566</t>
  </si>
  <si>
    <t>412</t>
  </si>
  <si>
    <t>926</t>
  </si>
  <si>
    <t>458</t>
  </si>
  <si>
    <t>506</t>
  </si>
  <si>
    <t>2460</t>
  </si>
  <si>
    <t>MAINTENANCE &amp; FAILURE LOG</t>
  </si>
  <si>
    <t>EQUIPMENT COMPARISON TABLE</t>
  </si>
  <si>
    <t>FACILITY AVERAGE</t>
  </si>
  <si>
    <t>PERFORMANCE METRICS - MONTHLY TRENDS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</si>
  <si>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</si>
  <si>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</si>
  <si>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</si>
  <si>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</si>
  <si>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</si>
  <si>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</si>
  <si>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</si>
  <si>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</si>
  <si>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</si>
  <si>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</si>
  <si>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</si>
  <si>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</si>
  <si>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ANNUAL AVERAGE 2024</t>
  </si>
  <si>
    <t>COST ANALYSIS</t>
  </si>
  <si>
    <t>Cost Category</t>
  </si>
  <si>
    <t>Parts &amp; Materials</t>
  </si>
  <si>
    <t>Labor</t>
  </si>
  <si>
    <t>Fuel &amp; Energy</t>
  </si>
  <si>
    <t>Preventive Maintenance</t>
  </si>
  <si>
    <t>Spare Parts Inventory</t>
  </si>
  <si>
    <t>TOTAL MAINTENANCE COST</t>
  </si>
  <si>
    <t>MAINTENANCE ROI METRICS</t>
  </si>
  <si>
    <t>Planned Maintenance %</t>
  </si>
  <si>
    <t>Reactive Maintenance %</t>
  </si>
  <si>
    <t>Maintenance Cost as % of Asset Value</t>
  </si>
  <si>
    <t>Cost per Operating Hour</t>
  </si>
  <si>
    <t>Equipment Availability</t>
  </si>
  <si>
    <t>TREND ANALYSIS</t>
  </si>
  <si>
    <t>Uptime Improvement</t>
  </si>
  <si>
    <t>MTBF Growth</t>
  </si>
  <si>
    <t>MTTR Reduction</t>
  </si>
  <si>
    <t>Fuel Consumption Stability</t>
  </si>
  <si>
    <t>Cost Control</t>
  </si>
  <si>
    <t>Current Uptime %</t>
  </si>
  <si>
    <t>91.5%</t>
  </si>
  <si>
    <t>96.4%</t>
  </si>
  <si>
    <t>Avg Uptime %</t>
  </si>
  <si>
    <t>95.1%</t>
  </si>
  <si>
    <t>95.8%</t>
  </si>
  <si>
    <t>97.2%</t>
  </si>
  <si>
    <t>97.5%</t>
  </si>
  <si>
    <t>97.1%</t>
  </si>
  <si>
    <t>97.0%</t>
  </si>
  <si>
    <t>All Equipment</t>
  </si>
  <si>
    <t>Value</t>
  </si>
  <si>
    <t>68%</t>
  </si>
  <si>
    <t>32%</t>
  </si>
  <si>
    <t>12.4%</t>
  </si>
  <si>
    <t>$0.308</t>
  </si>
  <si>
    <t>Observation</t>
  </si>
  <si>
    <t>Increased from 95.1% to 97.2% over 12 months</t>
  </si>
  <si>
    <t>Average increased from 321h to 487h (+52%)</t>
  </si>
  <si>
    <t>Average reduced from 3.2h to 2.5h (-22%)</t>
  </si>
  <si>
    <t>Stable around 2,600-2,850L per month</t>
  </si>
  <si>
    <t>Reduced from $18,850 (Jan) to $15,050 (Dec)</t>
  </si>
  <si>
    <t>Target %</t>
  </si>
  <si>
    <t>96.0%</t>
  </si>
  <si>
    <t>Avg MTBF (h)</t>
  </si>
  <si>
    <t>321</t>
  </si>
  <si>
    <t>354</t>
  </si>
  <si>
    <t>492</t>
  </si>
  <si>
    <t>524</t>
  </si>
  <si>
    <t>502</t>
  </si>
  <si>
    <t>485</t>
  </si>
  <si>
    <t>512</t>
  </si>
  <si>
    <t>498</t>
  </si>
  <si>
    <t>521</t>
  </si>
  <si>
    <t>Jan-Dec 2024</t>
  </si>
  <si>
    <t>$28,460</t>
  </si>
  <si>
    <t>$21,840</t>
  </si>
  <si>
    <t>$18,230</t>
  </si>
  <si>
    <t>$12,420</t>
  </si>
  <si>
    <t>$8,520</t>
  </si>
  <si>
    <t>$89,470</t>
  </si>
  <si>
    <t>70%</t>
  </si>
  <si>
    <t>30%</t>
  </si>
  <si>
    <t>15%</t>
  </si>
  <si>
    <t>$0.35</t>
  </si>
  <si>
    <t>Impact</t>
  </si>
  <si>
    <t>Positive</t>
  </si>
  <si>
    <t>Stable</t>
  </si>
  <si>
    <t>Variance</t>
  </si>
  <si>
    <t>+1.1%</t>
  </si>
  <si>
    <t>+0.6%</t>
  </si>
  <si>
    <t>+1.2%</t>
  </si>
  <si>
    <t>-0.1%</t>
  </si>
  <si>
    <t>+1.5%</t>
  </si>
  <si>
    <t>+0.8%</t>
  </si>
  <si>
    <t>+0.4%</t>
  </si>
  <si>
    <t>Avg MTTR (h)</t>
  </si>
  <si>
    <t>2.4</t>
  </si>
  <si>
    <t>% of Total</t>
  </si>
  <si>
    <t>25%</t>
  </si>
  <si>
    <t>21%</t>
  </si>
  <si>
    <t>14%</t>
  </si>
  <si>
    <t>10%</t>
  </si>
  <si>
    <t>100%</t>
  </si>
  <si>
    <t>Good</t>
  </si>
  <si>
    <t>Acceptable</t>
  </si>
  <si>
    <t>Excellent</t>
  </si>
  <si>
    <t>Action</t>
  </si>
  <si>
    <t>Continue current maintenance strategy</t>
  </si>
  <si>
    <t>Equipment reliability improving steadily</t>
  </si>
  <si>
    <t>Technician efficiency improvements working</t>
  </si>
  <si>
    <t>Monitor for seasonal variations</t>
  </si>
  <si>
    <t>Preventive strategy reducing emergency costs</t>
  </si>
  <si>
    <t>285</t>
  </si>
  <si>
    <t>434</t>
  </si>
  <si>
    <t>Total Failures</t>
  </si>
  <si>
    <t>92</t>
  </si>
  <si>
    <t>Per Failure</t>
  </si>
  <si>
    <t>$309</t>
  </si>
  <si>
    <t>$237</t>
  </si>
  <si>
    <t>$198</t>
  </si>
  <si>
    <t>$135</t>
  </si>
  <si>
    <t>$93</t>
  </si>
  <si>
    <t>$972</t>
  </si>
  <si>
    <t>Notes</t>
  </si>
  <si>
    <t>Focus on increasing preventive tasks</t>
  </si>
  <si>
    <t>Opportunity to shift to preventive</t>
  </si>
  <si>
    <t>Below threshold - healthy fleet</t>
  </si>
  <si>
    <t>Efficient maintenance program</t>
  </si>
  <si>
    <t>Exceeding target by 1.4%</t>
  </si>
  <si>
    <t>2.0</t>
  </si>
  <si>
    <t>Total Fuel (L)</t>
  </si>
  <si>
    <t>2485</t>
  </si>
  <si>
    <t>2412</t>
  </si>
  <si>
    <t>2524</t>
  </si>
  <si>
    <t>2645</t>
  </si>
  <si>
    <t>2618</t>
  </si>
  <si>
    <t>2736</t>
  </si>
  <si>
    <t>2825</t>
  </si>
  <si>
    <t>2841</t>
  </si>
  <si>
    <t>2752</t>
  </si>
  <si>
    <t>2748</t>
  </si>
  <si>
    <t>2684</t>
  </si>
  <si>
    <t>32514</t>
  </si>
  <si>
    <t>Per Equipment Hour</t>
  </si>
  <si>
    <t>$0.098</t>
  </si>
  <si>
    <t>$0.075</t>
  </si>
  <si>
    <t>$0.063</t>
  </si>
  <si>
    <t>$0.043</t>
  </si>
  <si>
    <t>$0.029</t>
  </si>
  <si>
    <t>82/100</t>
  </si>
  <si>
    <t>94/100</t>
  </si>
  <si>
    <t>93/100</t>
  </si>
  <si>
    <t>18850</t>
  </si>
  <si>
    <t>18100</t>
  </si>
  <si>
    <t>16200</t>
  </si>
  <si>
    <t>15400</t>
  </si>
  <si>
    <t>14350</t>
  </si>
  <si>
    <t>13800</t>
  </si>
  <si>
    <t>14650</t>
  </si>
  <si>
    <t>15200</t>
  </si>
  <si>
    <t>14100</t>
  </si>
  <si>
    <t>14850</t>
  </si>
  <si>
    <t>13500</t>
  </si>
  <si>
    <t>15050</t>
  </si>
  <si>
    <t>174050</t>
  </si>
  <si>
    <t>KPI ANALYSIS &amp; SUMMARY</t>
  </si>
  <si>
    <t>Date</t>
  </si>
  <si>
    <t>2024-01-05</t>
  </si>
  <si>
    <t>2024-02-05</t>
  </si>
  <si>
    <t>2024-03-05</t>
  </si>
  <si>
    <t>2024-05-05</t>
  </si>
  <si>
    <t>Fuel Added (L)</t>
  </si>
  <si>
    <t>260</t>
  </si>
  <si>
    <t>265</t>
  </si>
  <si>
    <t>Cost per Unit ($)</t>
  </si>
  <si>
    <t>0.95</t>
  </si>
  <si>
    <t>0.98</t>
  </si>
  <si>
    <t>1.00</t>
  </si>
  <si>
    <t>1.02</t>
  </si>
  <si>
    <t>1.05</t>
  </si>
  <si>
    <t>199.50</t>
  </si>
  <si>
    <t>185.25</t>
  </si>
  <si>
    <t>304.00</t>
  </si>
  <si>
    <t>171.00</t>
  </si>
  <si>
    <t>237.50</t>
  </si>
  <si>
    <t>313.50</t>
  </si>
  <si>
    <t>200.90</t>
  </si>
  <si>
    <t>184.24</t>
  </si>
  <si>
    <t>301.84</t>
  </si>
  <si>
    <t>171.50</t>
  </si>
  <si>
    <t>235.20</t>
  </si>
  <si>
    <t>313.60</t>
  </si>
  <si>
    <t>215.00</t>
  </si>
  <si>
    <t>202.00</t>
  </si>
  <si>
    <t>315.00</t>
  </si>
  <si>
    <t>182.00</t>
  </si>
  <si>
    <t>260.00</t>
  </si>
  <si>
    <t>335.00</t>
  </si>
  <si>
    <t>224.40</t>
  </si>
  <si>
    <t>214.20</t>
  </si>
  <si>
    <t>331.50</t>
  </si>
  <si>
    <t>188.70</t>
  </si>
  <si>
    <t>270.30</t>
  </si>
  <si>
    <t>346.80</t>
  </si>
  <si>
    <t>228.90</t>
  </si>
  <si>
    <t>215.25</t>
  </si>
  <si>
    <t>333.90</t>
  </si>
  <si>
    <t>189.00</t>
  </si>
  <si>
    <t>267.75</t>
  </si>
  <si>
    <t>348.60</t>
  </si>
  <si>
    <t>Running Total (L)</t>
  </si>
  <si>
    <t>405</t>
  </si>
  <si>
    <t>725</t>
  </si>
  <si>
    <t>905</t>
  </si>
  <si>
    <t>1155</t>
  </si>
  <si>
    <t>1485</t>
  </si>
  <si>
    <t>1690</t>
  </si>
  <si>
    <t>1878</t>
  </si>
  <si>
    <t>2186</t>
  </si>
  <si>
    <t>2361</t>
  </si>
  <si>
    <t>2601</t>
  </si>
  <si>
    <t>2921</t>
  </si>
  <si>
    <t>3136</t>
  </si>
  <si>
    <t>3338</t>
  </si>
  <si>
    <t>3653</t>
  </si>
  <si>
    <t>3835</t>
  </si>
  <si>
    <t>4095</t>
  </si>
  <si>
    <t>4430</t>
  </si>
  <si>
    <t>4650</t>
  </si>
  <si>
    <t>4860</t>
  </si>
  <si>
    <t>5185</t>
  </si>
  <si>
    <t>5370</t>
  </si>
  <si>
    <t>5635</t>
  </si>
  <si>
    <t>5975</t>
  </si>
  <si>
    <t>6193</t>
  </si>
  <si>
    <t>6398</t>
  </si>
  <si>
    <t>6716</t>
  </si>
  <si>
    <t>6896</t>
  </si>
  <si>
    <t>7151</t>
  </si>
  <si>
    <t>7483</t>
  </si>
  <si>
    <t>Efficiency Ratio (L/h)</t>
  </si>
  <si>
    <t>0.30</t>
  </si>
  <si>
    <t>0.28</t>
  </si>
  <si>
    <t>0.44</t>
  </si>
  <si>
    <t>0.24</t>
  </si>
  <si>
    <t>0.35</t>
  </si>
  <si>
    <t>0.46</t>
  </si>
  <si>
    <t>0.31</t>
  </si>
  <si>
    <t>0.33</t>
  </si>
  <si>
    <t>0.29</t>
  </si>
  <si>
    <t>0.25</t>
  </si>
  <si>
    <t>0.36</t>
  </si>
  <si>
    <t>0.47</t>
  </si>
  <si>
    <t>0.34</t>
  </si>
  <si>
    <t>Monthly refill</t>
  </si>
  <si>
    <t>Higher consumption noted</t>
  </si>
  <si>
    <t>Most efficient</t>
  </si>
  <si>
    <t>Backup system</t>
  </si>
  <si>
    <t>Heat exchanger system</t>
  </si>
  <si>
    <t>Consistent pattern</t>
  </si>
  <si>
    <t>Efficient performance</t>
  </si>
  <si>
    <t>Backup system used twice</t>
  </si>
  <si>
    <t>Heat load high</t>
  </si>
  <si>
    <t>Price increase noted</t>
  </si>
  <si>
    <t>Slight consumption increase</t>
  </si>
  <si>
    <t>Peak season? Monitor</t>
  </si>
  <si>
    <t>Excellent efficiency</t>
  </si>
  <si>
    <t>Increased usage</t>
  </si>
  <si>
    <t>Summer preparation?</t>
  </si>
  <si>
    <t>Normal consumption</t>
  </si>
  <si>
    <t>Sustained high usage</t>
  </si>
  <si>
    <t>Very efficient</t>
  </si>
  <si>
    <t>Above average</t>
  </si>
  <si>
    <t>Peak season continues</t>
  </si>
  <si>
    <t>Reduced consumption</t>
  </si>
  <si>
    <t>Seasonal variation</t>
  </si>
  <si>
    <t>Holding steady</t>
  </si>
  <si>
    <t>Most efficient unit</t>
  </si>
  <si>
    <t>Declining slightly</t>
  </si>
  <si>
    <t>FUEL &amp; ENERGY USAGE TRACKING</t>
  </si>
  <si>
    <t>Calculation</t>
  </si>
  <si>
    <t>MTBF (Mean Time Between Failures)</t>
  </si>
  <si>
    <t>MTTR (Mean Time To Repair)</t>
  </si>
  <si>
    <t>Availability %</t>
  </si>
  <si>
    <t>Equipment Health Index</t>
  </si>
  <si>
    <t>Maintenance Cost per Hour</t>
  </si>
  <si>
    <t>Fuel Efficiency Ratio</t>
  </si>
  <si>
    <t>Cost per Failure</t>
  </si>
  <si>
    <t>Trend (Month-over-Month %)</t>
  </si>
  <si>
    <t>CONDITIONAL FORMATTING RULES</t>
  </si>
  <si>
    <t>Health Index Score</t>
  </si>
  <si>
    <t>Fuel Efficiency</t>
  </si>
  <si>
    <t>EXCEL IMPLEMENTATION NOTES</t>
  </si>
  <si>
    <t>Task</t>
  </si>
  <si>
    <t>Data Entry</t>
  </si>
  <si>
    <t>Failure Log</t>
  </si>
  <si>
    <t>Chart Refresh</t>
  </si>
  <si>
    <t>Dashboard Review</t>
  </si>
  <si>
    <t>KPI Analysis</t>
  </si>
  <si>
    <t>Trend Analysis</t>
  </si>
  <si>
    <t>Backup</t>
  </si>
  <si>
    <t>Formula</t>
  </si>
  <si>
    <t>Excellent (Green)</t>
  </si>
  <si>
    <t>&gt;= Target</t>
  </si>
  <si>
    <t>&lt;= Target</t>
  </si>
  <si>
    <t>&gt;= 85</t>
  </si>
  <si>
    <t>Within -5% of baseline</t>
  </si>
  <si>
    <t>Instructions</t>
  </si>
  <si>
    <t>Update Monthly Performance sheet each month with latest data from CMMS</t>
  </si>
  <si>
    <t>Log each failure/maintenance event in real-time for accurate MTTR tracking</t>
  </si>
  <si>
    <t>Charts auto-update when source data changes (dynamic ranges recommended)</t>
  </si>
  <si>
    <t>Review main Dashboard tab weekly for alerts and trends</t>
  </si>
  <si>
    <t>Generate monthly summary for management review</t>
  </si>
  <si>
    <t>Quarter review of annual trends and variance from targets</t>
  </si>
  <si>
    <t>Maintain monthly backup copies of the workbook</t>
  </si>
  <si>
    <t>Cell Example</t>
  </si>
  <si>
    <t>E5 = D5/(D5+C5)</t>
  </si>
  <si>
    <t>G5 = D5/F5</t>
  </si>
  <si>
    <t>I5 = H5/F5</t>
  </si>
  <si>
    <t>Complex</t>
  </si>
  <si>
    <t>Warning (Yellow)</t>
  </si>
  <si>
    <t>95%-Target</t>
  </si>
  <si>
    <t>80%-100% Target</t>
  </si>
  <si>
    <t>Target to +20%</t>
  </si>
  <si>
    <t>70-84</t>
  </si>
  <si>
    <t>Within +5% of baseline</t>
  </si>
  <si>
    <t>Priority</t>
  </si>
  <si>
    <t>High</t>
  </si>
  <si>
    <t>Medium</t>
  </si>
  <si>
    <t>Result Description</t>
  </si>
  <si>
    <t>% of time equipment was operational</t>
  </si>
  <si>
    <t>Average hours between failures - Higher is better</t>
  </si>
  <si>
    <t>Average hours to complete repair - Lower is better</t>
  </si>
  <si>
    <t>System availability % - Industry goal &gt;99%</t>
  </si>
  <si>
    <t>0-100 score: Green &gt;85, Yellow 70-84, Red &lt;70</t>
  </si>
  <si>
    <t>Cost efficiency metric - Lower is better</t>
  </si>
  <si>
    <t>Liters per hour - Indicates efficiency trend</t>
  </si>
  <si>
    <t>Economic indicator of repair efficiency</t>
  </si>
  <si>
    <t>% of proactive vs reactive - Target &gt;70%</t>
  </si>
  <si>
    <t>% change - Positive or negative trend</t>
  </si>
  <si>
    <t>Critical (Red)</t>
  </si>
  <si>
    <t>&lt; 95%</t>
  </si>
  <si>
    <t>&lt; 80% Target</t>
  </si>
  <si>
    <t>&gt; +20% Target</t>
  </si>
  <si>
    <t>&lt; 70</t>
  </si>
  <si>
    <t>&gt; +5% of baseline</t>
  </si>
  <si>
    <t>FORMULA REFERENCE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</si>
</sst>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34.7109375" customWidth="1"/>
    <col min="2" max="2" width="19.7109375" customWidth="1"/>
    <col min="3" max="3" width="10.7109375" customWidth="1"/>
    <col min="4" max="4" width="28.7109375" customWidth="1"/>
    <col min="5" max="5" width="13.7109375" customWidth="1"/>
    <col min="6" max="6" width="14.7109375" customWidth="1"/>
  </cols>
  <sheetData>
    <row r="1" spans="1:6">
      <c r="A1" t="s">
        <v>81</v>
      </c>
    </row>
    <row r="2" spans="1:6">
      <c r="A2" t="s">
        <v>0</v>
      </c>
    </row>
    <row r="4" spans="1:6">
      <c r="A4" t="s">
        <v>1</v>
      </c>
    </row>
    <row r="5" spans="1:6">
      <c r="A5" t="s">
        <v>2</v>
      </c>
      <c r="B5" t="s">
        <v>19</v>
      </c>
      <c r="C5" t="s">
        <v>30</v>
      </c>
      <c r="D5" t="s">
        <v>29</v>
      </c>
      <c r="E5" t="s">
        <v>56</v>
      </c>
      <c r="F5" t="s">
        <v>71</v>
      </c>
    </row>
    <row r="6" spans="1:6">
      <c r="A6" t="s">
        <v>3</v>
      </c>
      <c r="B6" t="s">
        <v>20</v>
      </c>
      <c r="C6" t="s">
        <v>31</v>
      </c>
      <c r="D6" t="s">
        <v>45</v>
      </c>
      <c r="E6" t="s">
        <v>57</v>
      </c>
      <c r="F6" t="s">
        <v>72</v>
      </c>
    </row>
    <row r="7" spans="1:6">
      <c r="A7" t="s">
        <v>4</v>
      </c>
      <c r="B7" t="s">
        <v>21</v>
      </c>
      <c r="C7" t="s">
        <v>32</v>
      </c>
      <c r="D7" t="s">
        <v>45</v>
      </c>
      <c r="E7" t="s">
        <v>58</v>
      </c>
      <c r="F7" t="s">
        <v>73</v>
      </c>
    </row>
    <row r="8" spans="1:6">
      <c r="A8" t="s">
        <v>5</v>
      </c>
      <c r="B8" t="s">
        <v>22</v>
      </c>
      <c r="C8" t="s">
        <v>33</v>
      </c>
      <c r="D8" t="s">
        <v>45</v>
      </c>
      <c r="E8" t="s">
        <v>59</v>
      </c>
      <c r="F8" t="s">
        <v>74</v>
      </c>
    </row>
    <row r="9" spans="1:6">
      <c r="A9" t="s">
        <v>6</v>
      </c>
      <c r="B9" t="s">
        <v>23</v>
      </c>
      <c r="C9" t="s">
        <v>34</v>
      </c>
      <c r="D9" t="s">
        <v>46</v>
      </c>
      <c r="E9" t="s">
        <v>60</v>
      </c>
      <c r="F9" t="s">
        <v>75</v>
      </c>
    </row>
    <row r="10" spans="1:6">
      <c r="A10" t="s">
        <v>7</v>
      </c>
      <c r="B10" t="s">
        <v>24</v>
      </c>
      <c r="C10" t="s">
        <v>35</v>
      </c>
      <c r="D10" t="s">
        <v>44</v>
      </c>
      <c r="E10" t="s">
        <v>61</v>
      </c>
      <c r="F10" t="s">
        <v>76</v>
      </c>
    </row>
    <row r="12" spans="1:6">
      <c r="A12" t="s">
        <v>8</v>
      </c>
    </row>
    <row r="13" spans="1:6">
      <c r="A13" t="s">
        <v>9</v>
      </c>
      <c r="B13" t="s">
        <v>15</v>
      </c>
      <c r="C13" t="s">
        <v>36</v>
      </c>
      <c r="D13" t="s">
        <v>47</v>
      </c>
      <c r="E13" t="s">
        <v>62</v>
      </c>
      <c r="F13" t="s">
        <v>77</v>
      </c>
    </row>
    <row r="14" spans="1:6">
      <c r="A14" t="s">
        <v>10</v>
      </c>
      <c r="B14" t="s">
        <v>18</v>
      </c>
      <c r="C14" t="s">
        <v>37</v>
      </c>
      <c r="D14" t="s">
        <v>48</v>
      </c>
      <c r="E14" t="s">
        <v>63</v>
      </c>
      <c r="F14" t="s">
        <v>78</v>
      </c>
    </row>
    <row r="15" spans="1:6">
      <c r="A15" t="s">
        <v>11</v>
      </c>
      <c r="B15" t="s">
        <v>25</v>
      </c>
      <c r="C15" t="s">
        <v>38</v>
      </c>
      <c r="D15" t="s">
        <v>49</v>
      </c>
      <c r="E15" t="s">
        <v>64</v>
      </c>
      <c r="F15" t="s">
        <v>74</v>
      </c>
    </row>
    <row r="16" spans="1:6">
      <c r="A16" t="s">
        <v>12</v>
      </c>
      <c r="B16" t="s">
        <v>17</v>
      </c>
      <c r="C16" t="s">
        <v>39</v>
      </c>
      <c r="D16" t="s">
        <v>50</v>
      </c>
      <c r="E16" t="s">
        <v>65</v>
      </c>
      <c r="F16" t="s">
        <v>79</v>
      </c>
    </row>
    <row r="17" spans="1:6">
      <c r="A17" t="s">
        <v>13</v>
      </c>
      <c r="B17" t="s">
        <v>16</v>
      </c>
      <c r="C17" t="s">
        <v>40</v>
      </c>
      <c r="D17" t="s">
        <v>51</v>
      </c>
      <c r="E17" t="s">
        <v>66</v>
      </c>
      <c r="F17" t="s">
        <v>80</v>
      </c>
    </row>
    <row r="19" spans="1:6">
      <c r="A19" t="s">
        <v>14</v>
      </c>
    </row>
    <row r="20" spans="1:6">
      <c r="A20" t="s">
        <v>15</v>
      </c>
      <c r="B20" t="s">
        <v>26</v>
      </c>
      <c r="C20" t="s">
        <v>41</v>
      </c>
      <c r="D20" t="s">
        <v>52</v>
      </c>
      <c r="E20" t="s">
        <v>67</v>
      </c>
    </row>
    <row r="21" spans="1:6">
      <c r="A21" t="s">
        <v>16</v>
      </c>
      <c r="B21" t="s">
        <v>27</v>
      </c>
      <c r="C21" t="s">
        <v>42</v>
      </c>
      <c r="D21" t="s">
        <v>53</v>
      </c>
      <c r="E21" t="s">
        <v>68</v>
      </c>
    </row>
    <row r="22" spans="1:6">
      <c r="A22" t="s">
        <v>17</v>
      </c>
      <c r="B22" t="s">
        <v>28</v>
      </c>
      <c r="C22" t="s">
        <v>43</v>
      </c>
      <c r="D22" t="s">
        <v>54</v>
      </c>
      <c r="E22" t="s">
        <v>69</v>
      </c>
    </row>
    <row r="23" spans="1:6">
      <c r="A23" t="s">
        <v>18</v>
      </c>
      <c r="B23" t="s">
        <v>29</v>
      </c>
      <c r="C23" t="s">
        <v>44</v>
      </c>
      <c r="D23" t="s">
        <v>55</v>
      </c>
      <c r="E2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23.7109375" customWidth="1"/>
    <col min="2" max="2" width="16.7109375" customWidth="1"/>
    <col min="3" max="3" width="18.7109375" customWidth="1"/>
    <col min="4" max="4" width="22.7109375" customWidth="1"/>
    <col min="5" max="5" width="19.7109375" customWidth="1"/>
    <col min="6" max="7" width="14.7109375" customWidth="1"/>
    <col min="8" max="11" width="17.7109375" customWidth="1"/>
  </cols>
  <sheetData>
    <row r="1" spans="1:11">
      <c r="A1" t="s">
        <v>139</v>
      </c>
    </row>
    <row r="2" spans="1:11">
      <c r="A2" t="s">
        <v>82</v>
      </c>
      <c r="B2" t="s">
        <v>89</v>
      </c>
      <c r="C2" t="s">
        <v>92</v>
      </c>
      <c r="D2" t="s">
        <v>98</v>
      </c>
      <c r="E2" t="s">
        <v>103</v>
      </c>
      <c r="F2" t="s">
        <v>110</v>
      </c>
      <c r="G2" t="s">
        <v>117</v>
      </c>
      <c r="H2" t="s">
        <v>124</v>
      </c>
      <c r="I2" t="s">
        <v>127</v>
      </c>
      <c r="J2" t="s">
        <v>133</v>
      </c>
      <c r="K2" t="s">
        <v>136</v>
      </c>
    </row>
    <row r="3" spans="1:11">
      <c r="A3" t="s">
        <v>83</v>
      </c>
      <c r="B3" t="s">
        <v>25</v>
      </c>
      <c r="C3" t="s">
        <v>93</v>
      </c>
      <c r="D3" t="s">
        <v>99</v>
      </c>
      <c r="E3" t="s">
        <v>104</v>
      </c>
      <c r="F3" t="s">
        <v>111</v>
      </c>
      <c r="G3" t="s">
        <v>118</v>
      </c>
      <c r="H3" t="s">
        <v>125</v>
      </c>
      <c r="I3" t="s">
        <v>128</v>
      </c>
      <c r="J3" t="s">
        <v>32</v>
      </c>
      <c r="K3" t="s">
        <v>33</v>
      </c>
    </row>
    <row r="4" spans="1:11">
      <c r="A4" t="s">
        <v>84</v>
      </c>
      <c r="B4" t="s">
        <v>17</v>
      </c>
      <c r="C4" t="s">
        <v>93</v>
      </c>
      <c r="D4" t="s">
        <v>99</v>
      </c>
      <c r="E4" t="s">
        <v>105</v>
      </c>
      <c r="F4" t="s">
        <v>112</v>
      </c>
      <c r="G4" t="s">
        <v>119</v>
      </c>
      <c r="H4" t="s">
        <v>125</v>
      </c>
      <c r="I4" t="s">
        <v>128</v>
      </c>
      <c r="J4" t="s">
        <v>32</v>
      </c>
      <c r="K4" t="s">
        <v>33</v>
      </c>
    </row>
    <row r="5" spans="1:11">
      <c r="A5" t="s">
        <v>85</v>
      </c>
      <c r="B5" t="s">
        <v>16</v>
      </c>
      <c r="C5" t="s">
        <v>94</v>
      </c>
      <c r="D5" t="s">
        <v>100</v>
      </c>
      <c r="E5" t="s">
        <v>106</v>
      </c>
      <c r="F5" t="s">
        <v>113</v>
      </c>
      <c r="G5" t="s">
        <v>120</v>
      </c>
      <c r="H5" t="s">
        <v>126</v>
      </c>
      <c r="I5" t="s">
        <v>129</v>
      </c>
      <c r="J5" t="s">
        <v>32</v>
      </c>
      <c r="K5" t="s">
        <v>33</v>
      </c>
    </row>
    <row r="6" spans="1:11">
      <c r="A6" t="s">
        <v>86</v>
      </c>
      <c r="B6" t="s">
        <v>18</v>
      </c>
      <c r="C6" t="s">
        <v>95</v>
      </c>
      <c r="D6" t="s">
        <v>101</v>
      </c>
      <c r="E6" t="s">
        <v>107</v>
      </c>
      <c r="F6" t="s">
        <v>114</v>
      </c>
      <c r="G6" t="s">
        <v>121</v>
      </c>
      <c r="H6" t="s">
        <v>125</v>
      </c>
      <c r="I6" t="s">
        <v>130</v>
      </c>
      <c r="J6" t="s">
        <v>32</v>
      </c>
      <c r="K6" t="s">
        <v>33</v>
      </c>
    </row>
    <row r="7" spans="1:11">
      <c r="A7" t="s">
        <v>87</v>
      </c>
      <c r="B7" t="s">
        <v>90</v>
      </c>
      <c r="C7" t="s">
        <v>96</v>
      </c>
      <c r="D7" t="s">
        <v>102</v>
      </c>
      <c r="E7" t="s">
        <v>108</v>
      </c>
      <c r="F7" t="s">
        <v>115</v>
      </c>
      <c r="G7" t="s">
        <v>122</v>
      </c>
      <c r="H7" t="s">
        <v>125</v>
      </c>
      <c r="I7" t="s">
        <v>131</v>
      </c>
      <c r="J7" t="s">
        <v>134</v>
      </c>
      <c r="K7" t="s">
        <v>137</v>
      </c>
    </row>
    <row r="8" spans="1:11">
      <c r="A8" t="s">
        <v>88</v>
      </c>
      <c r="B8" t="s">
        <v>91</v>
      </c>
      <c r="C8" t="s">
        <v>97</v>
      </c>
      <c r="D8" t="s">
        <v>99</v>
      </c>
      <c r="E8" t="s">
        <v>109</v>
      </c>
      <c r="F8" t="s">
        <v>116</v>
      </c>
      <c r="G8" t="s">
        <v>123</v>
      </c>
      <c r="H8" t="s">
        <v>125</v>
      </c>
      <c r="I8" t="s">
        <v>132</v>
      </c>
      <c r="J8" t="s">
        <v>135</v>
      </c>
      <c r="K8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cols>
    <col min="1" max="1" width="33.7109375" customWidth="1"/>
    <col min="2" max="2" width="11.7109375" customWidth="1"/>
    <col min="3" max="3" width="17.7109375" customWidth="1"/>
    <col min="4" max="4" width="16.7109375" customWidth="1"/>
    <col min="5" max="5" width="10.7109375" customWidth="1"/>
    <col min="6" max="6" width="16.7109375" customWidth="1"/>
    <col min="7" max="7" width="14.7109375" customWidth="1"/>
    <col min="8" max="8" width="20.7109375" customWidth="1"/>
    <col min="9" max="9" width="14.7109375" customWidth="1"/>
    <col min="10" max="10" width="16.7109375" customWidth="1"/>
    <col min="11" max="11" width="22.7109375" customWidth="1"/>
  </cols>
  <sheetData>
    <row r="1" spans="1:11">
      <c r="A1" t="s">
        <v>331</v>
      </c>
    </row>
    <row r="2" spans="1:11">
      <c r="A2" t="s">
        <v>82</v>
      </c>
      <c r="B2" t="s">
        <v>140</v>
      </c>
      <c r="C2" t="s">
        <v>153</v>
      </c>
      <c r="D2" t="s">
        <v>159</v>
      </c>
      <c r="E2" t="s">
        <v>36</v>
      </c>
      <c r="F2" t="s">
        <v>212</v>
      </c>
      <c r="G2" t="s">
        <v>214</v>
      </c>
      <c r="H2" t="s">
        <v>223</v>
      </c>
      <c r="I2" t="s">
        <v>245</v>
      </c>
      <c r="J2" t="s">
        <v>255</v>
      </c>
      <c r="K2" t="s">
        <v>7</v>
      </c>
    </row>
    <row r="3" spans="1:11">
      <c r="A3" t="s">
        <v>83</v>
      </c>
      <c r="B3" t="s">
        <v>141</v>
      </c>
      <c r="C3" t="s">
        <v>154</v>
      </c>
      <c r="D3" t="s">
        <v>160</v>
      </c>
      <c r="E3" t="s">
        <v>183</v>
      </c>
      <c r="F3" t="s">
        <v>11</v>
      </c>
      <c r="G3" t="s">
        <v>215</v>
      </c>
      <c r="H3" t="s">
        <v>224</v>
      </c>
      <c r="I3" t="s">
        <v>246</v>
      </c>
      <c r="J3" t="s">
        <v>256</v>
      </c>
      <c r="K3" t="s">
        <v>292</v>
      </c>
    </row>
    <row r="4" spans="1:11">
      <c r="A4" t="s">
        <v>83</v>
      </c>
      <c r="B4" t="s">
        <v>142</v>
      </c>
      <c r="C4" t="s">
        <v>155</v>
      </c>
      <c r="D4" t="s">
        <v>161</v>
      </c>
      <c r="E4" t="s">
        <v>184</v>
      </c>
      <c r="F4" t="s">
        <v>10</v>
      </c>
      <c r="G4" t="s">
        <v>155</v>
      </c>
      <c r="H4" t="s">
        <v>225</v>
      </c>
      <c r="I4" t="s">
        <v>225</v>
      </c>
      <c r="J4" t="s">
        <v>257</v>
      </c>
      <c r="K4" t="s">
        <v>34</v>
      </c>
    </row>
    <row r="5" spans="1:11">
      <c r="A5" t="s">
        <v>83</v>
      </c>
      <c r="B5" t="s">
        <v>143</v>
      </c>
      <c r="C5" t="s">
        <v>156</v>
      </c>
      <c r="D5" t="s">
        <v>162</v>
      </c>
      <c r="E5" t="s">
        <v>185</v>
      </c>
      <c r="F5" t="s">
        <v>10</v>
      </c>
      <c r="G5" t="s">
        <v>156</v>
      </c>
      <c r="H5" t="s">
        <v>226</v>
      </c>
      <c r="I5" t="s">
        <v>226</v>
      </c>
      <c r="J5" t="s">
        <v>258</v>
      </c>
      <c r="K5" t="s">
        <v>293</v>
      </c>
    </row>
    <row r="6" spans="1:11">
      <c r="A6" t="s">
        <v>83</v>
      </c>
      <c r="B6" t="s">
        <v>144</v>
      </c>
      <c r="C6" t="s">
        <v>157</v>
      </c>
      <c r="D6" t="s">
        <v>163</v>
      </c>
      <c r="E6" t="s">
        <v>186</v>
      </c>
      <c r="F6" t="s">
        <v>10</v>
      </c>
      <c r="G6" t="s">
        <v>157</v>
      </c>
      <c r="H6" t="s">
        <v>138</v>
      </c>
      <c r="I6" t="s">
        <v>138</v>
      </c>
      <c r="J6" t="s">
        <v>259</v>
      </c>
      <c r="K6" t="s">
        <v>294</v>
      </c>
    </row>
    <row r="7" spans="1:11">
      <c r="A7" t="s">
        <v>83</v>
      </c>
      <c r="B7" t="s">
        <v>145</v>
      </c>
      <c r="C7" t="s">
        <v>158</v>
      </c>
      <c r="D7" t="s">
        <v>164</v>
      </c>
      <c r="E7" t="s">
        <v>187</v>
      </c>
      <c r="F7" t="s">
        <v>10</v>
      </c>
      <c r="G7" t="s">
        <v>158</v>
      </c>
      <c r="H7" t="s">
        <v>65</v>
      </c>
      <c r="I7" t="s">
        <v>65</v>
      </c>
      <c r="J7" t="s">
        <v>260</v>
      </c>
      <c r="K7" t="s">
        <v>295</v>
      </c>
    </row>
    <row r="8" spans="1:11">
      <c r="A8" t="s">
        <v>83</v>
      </c>
      <c r="B8" t="s">
        <v>146</v>
      </c>
      <c r="C8" t="s">
        <v>157</v>
      </c>
      <c r="D8" t="s">
        <v>165</v>
      </c>
      <c r="E8" t="s">
        <v>188</v>
      </c>
      <c r="F8" t="s">
        <v>213</v>
      </c>
      <c r="G8" t="s">
        <v>216</v>
      </c>
      <c r="H8" t="s">
        <v>213</v>
      </c>
      <c r="I8" t="s">
        <v>213</v>
      </c>
      <c r="J8" t="s">
        <v>261</v>
      </c>
      <c r="K8" t="s">
        <v>296</v>
      </c>
    </row>
    <row r="9" spans="1:11">
      <c r="A9" t="s">
        <v>83</v>
      </c>
      <c r="B9" t="s">
        <v>147</v>
      </c>
      <c r="C9" t="s">
        <v>158</v>
      </c>
      <c r="D9" t="s">
        <v>163</v>
      </c>
      <c r="E9" t="s">
        <v>186</v>
      </c>
      <c r="F9" t="s">
        <v>10</v>
      </c>
      <c r="G9" t="s">
        <v>158</v>
      </c>
      <c r="H9" t="s">
        <v>66</v>
      </c>
      <c r="I9" t="s">
        <v>66</v>
      </c>
      <c r="J9" t="s">
        <v>219</v>
      </c>
      <c r="K9" t="s">
        <v>297</v>
      </c>
    </row>
    <row r="10" spans="1:11">
      <c r="A10" t="s">
        <v>83</v>
      </c>
      <c r="B10" t="s">
        <v>148</v>
      </c>
      <c r="C10" t="s">
        <v>158</v>
      </c>
      <c r="D10" t="s">
        <v>166</v>
      </c>
      <c r="E10" t="s">
        <v>189</v>
      </c>
      <c r="F10" t="s">
        <v>10</v>
      </c>
      <c r="G10" t="s">
        <v>158</v>
      </c>
      <c r="H10" t="s">
        <v>227</v>
      </c>
      <c r="I10" t="s">
        <v>227</v>
      </c>
      <c r="J10" t="s">
        <v>262</v>
      </c>
      <c r="K10" t="s">
        <v>298</v>
      </c>
    </row>
    <row r="11" spans="1:11">
      <c r="A11" t="s">
        <v>83</v>
      </c>
      <c r="B11" t="s">
        <v>149</v>
      </c>
      <c r="C11" t="s">
        <v>157</v>
      </c>
      <c r="D11" t="s">
        <v>164</v>
      </c>
      <c r="E11" t="s">
        <v>187</v>
      </c>
      <c r="F11" t="s">
        <v>213</v>
      </c>
      <c r="G11" t="s">
        <v>216</v>
      </c>
      <c r="H11" t="s">
        <v>213</v>
      </c>
      <c r="I11" t="s">
        <v>213</v>
      </c>
      <c r="J11" t="s">
        <v>259</v>
      </c>
      <c r="K11" t="s">
        <v>299</v>
      </c>
    </row>
    <row r="12" spans="1:11">
      <c r="A12" t="s">
        <v>83</v>
      </c>
      <c r="B12" t="s">
        <v>150</v>
      </c>
      <c r="C12" t="s">
        <v>158</v>
      </c>
      <c r="D12" t="s">
        <v>167</v>
      </c>
      <c r="E12" t="s">
        <v>190</v>
      </c>
      <c r="F12" t="s">
        <v>10</v>
      </c>
      <c r="G12" t="s">
        <v>158</v>
      </c>
      <c r="H12" t="s">
        <v>228</v>
      </c>
      <c r="I12" t="s">
        <v>228</v>
      </c>
      <c r="J12" t="s">
        <v>263</v>
      </c>
      <c r="K12" t="s">
        <v>300</v>
      </c>
    </row>
    <row r="13" spans="1:11">
      <c r="A13" t="s">
        <v>83</v>
      </c>
      <c r="B13" t="s">
        <v>151</v>
      </c>
      <c r="C13" t="s">
        <v>157</v>
      </c>
      <c r="D13" t="s">
        <v>168</v>
      </c>
      <c r="E13" t="s">
        <v>191</v>
      </c>
      <c r="F13" t="s">
        <v>213</v>
      </c>
      <c r="G13" t="s">
        <v>216</v>
      </c>
      <c r="H13" t="s">
        <v>213</v>
      </c>
      <c r="I13" t="s">
        <v>213</v>
      </c>
      <c r="J13" t="s">
        <v>264</v>
      </c>
      <c r="K13" t="s">
        <v>301</v>
      </c>
    </row>
    <row r="14" spans="1:11">
      <c r="A14" t="s">
        <v>83</v>
      </c>
      <c r="B14" t="s">
        <v>152</v>
      </c>
      <c r="C14" t="s">
        <v>158</v>
      </c>
      <c r="D14" t="s">
        <v>169</v>
      </c>
      <c r="E14" t="s">
        <v>192</v>
      </c>
      <c r="F14" t="s">
        <v>10</v>
      </c>
      <c r="G14" t="s">
        <v>158</v>
      </c>
      <c r="H14" t="s">
        <v>64</v>
      </c>
      <c r="I14" t="s">
        <v>64</v>
      </c>
      <c r="J14" t="s">
        <v>265</v>
      </c>
      <c r="K14" t="s">
        <v>302</v>
      </c>
    </row>
    <row r="16" spans="1:11">
      <c r="A16" t="s">
        <v>84</v>
      </c>
      <c r="B16" t="s">
        <v>141</v>
      </c>
      <c r="C16" t="s">
        <v>154</v>
      </c>
      <c r="D16" t="s">
        <v>170</v>
      </c>
      <c r="E16" t="s">
        <v>193</v>
      </c>
      <c r="F16" t="s">
        <v>11</v>
      </c>
      <c r="G16" t="s">
        <v>215</v>
      </c>
      <c r="H16" t="s">
        <v>229</v>
      </c>
      <c r="I16" t="s">
        <v>247</v>
      </c>
      <c r="J16" t="s">
        <v>266</v>
      </c>
      <c r="K16" t="s">
        <v>303</v>
      </c>
    </row>
    <row r="17" spans="1:11">
      <c r="A17" t="s">
        <v>84</v>
      </c>
      <c r="B17" t="s">
        <v>142</v>
      </c>
      <c r="C17" t="s">
        <v>155</v>
      </c>
      <c r="D17" t="s">
        <v>171</v>
      </c>
      <c r="E17" t="s">
        <v>194</v>
      </c>
      <c r="F17" t="s">
        <v>11</v>
      </c>
      <c r="G17" t="s">
        <v>217</v>
      </c>
      <c r="H17" t="s">
        <v>230</v>
      </c>
      <c r="I17" t="s">
        <v>248</v>
      </c>
      <c r="J17" t="s">
        <v>267</v>
      </c>
      <c r="K17" t="s">
        <v>304</v>
      </c>
    </row>
    <row r="18" spans="1:11">
      <c r="A18" t="s">
        <v>84</v>
      </c>
      <c r="B18" t="s">
        <v>143</v>
      </c>
      <c r="C18" t="s">
        <v>156</v>
      </c>
      <c r="D18" t="s">
        <v>172</v>
      </c>
      <c r="E18" t="s">
        <v>195</v>
      </c>
      <c r="F18" t="s">
        <v>10</v>
      </c>
      <c r="G18" t="s">
        <v>156</v>
      </c>
      <c r="H18" t="s">
        <v>231</v>
      </c>
      <c r="I18" t="s">
        <v>231</v>
      </c>
      <c r="J18" t="s">
        <v>268</v>
      </c>
      <c r="K18" t="s">
        <v>305</v>
      </c>
    </row>
    <row r="19" spans="1:11">
      <c r="A19" t="s">
        <v>84</v>
      </c>
      <c r="B19" t="s">
        <v>144</v>
      </c>
      <c r="C19" t="s">
        <v>157</v>
      </c>
      <c r="D19" t="s">
        <v>173</v>
      </c>
      <c r="E19" t="s">
        <v>38</v>
      </c>
      <c r="F19" t="s">
        <v>10</v>
      </c>
      <c r="G19" t="s">
        <v>157</v>
      </c>
      <c r="H19" t="s">
        <v>226</v>
      </c>
      <c r="I19" t="s">
        <v>226</v>
      </c>
      <c r="J19" t="s">
        <v>256</v>
      </c>
      <c r="K19" t="s">
        <v>297</v>
      </c>
    </row>
    <row r="20" spans="1:11">
      <c r="A20" t="s">
        <v>84</v>
      </c>
      <c r="B20" t="s">
        <v>145</v>
      </c>
      <c r="C20" t="s">
        <v>158</v>
      </c>
      <c r="D20" t="s">
        <v>162</v>
      </c>
      <c r="E20" t="s">
        <v>196</v>
      </c>
      <c r="F20" t="s">
        <v>10</v>
      </c>
      <c r="G20" t="s">
        <v>158</v>
      </c>
      <c r="H20" t="s">
        <v>66</v>
      </c>
      <c r="I20" t="s">
        <v>66</v>
      </c>
      <c r="J20" t="s">
        <v>257</v>
      </c>
      <c r="K20" t="s">
        <v>294</v>
      </c>
    </row>
    <row r="21" spans="1:11">
      <c r="A21" t="s">
        <v>84</v>
      </c>
      <c r="B21" t="s">
        <v>146</v>
      </c>
      <c r="C21" t="s">
        <v>157</v>
      </c>
      <c r="D21" t="s">
        <v>166</v>
      </c>
      <c r="E21" t="s">
        <v>197</v>
      </c>
      <c r="F21" t="s">
        <v>10</v>
      </c>
      <c r="G21" t="s">
        <v>157</v>
      </c>
      <c r="H21" t="s">
        <v>232</v>
      </c>
      <c r="I21" t="s">
        <v>232</v>
      </c>
      <c r="J21" t="s">
        <v>258</v>
      </c>
      <c r="K21" t="s">
        <v>306</v>
      </c>
    </row>
    <row r="22" spans="1:11">
      <c r="A22" t="s">
        <v>84</v>
      </c>
      <c r="B22" t="s">
        <v>147</v>
      </c>
      <c r="C22" t="s">
        <v>158</v>
      </c>
      <c r="D22" t="s">
        <v>169</v>
      </c>
      <c r="E22" t="s">
        <v>192</v>
      </c>
      <c r="F22" t="s">
        <v>10</v>
      </c>
      <c r="G22" t="s">
        <v>158</v>
      </c>
      <c r="H22" t="s">
        <v>228</v>
      </c>
      <c r="I22" t="s">
        <v>228</v>
      </c>
      <c r="J22" t="s">
        <v>269</v>
      </c>
      <c r="K22" t="s">
        <v>307</v>
      </c>
    </row>
    <row r="23" spans="1:11">
      <c r="A23" t="s">
        <v>84</v>
      </c>
      <c r="B23" t="s">
        <v>148</v>
      </c>
      <c r="C23" t="s">
        <v>158</v>
      </c>
      <c r="D23" t="s">
        <v>174</v>
      </c>
      <c r="E23" t="s">
        <v>185</v>
      </c>
      <c r="F23" t="s">
        <v>10</v>
      </c>
      <c r="G23" t="s">
        <v>158</v>
      </c>
      <c r="H23" t="s">
        <v>233</v>
      </c>
      <c r="I23" t="s">
        <v>233</v>
      </c>
      <c r="J23" t="s">
        <v>260</v>
      </c>
      <c r="K23" t="s">
        <v>297</v>
      </c>
    </row>
    <row r="24" spans="1:11">
      <c r="A24" t="s">
        <v>84</v>
      </c>
      <c r="B24" t="s">
        <v>149</v>
      </c>
      <c r="C24" t="s">
        <v>157</v>
      </c>
      <c r="D24" t="s">
        <v>167</v>
      </c>
      <c r="E24" t="s">
        <v>190</v>
      </c>
      <c r="F24" t="s">
        <v>213</v>
      </c>
      <c r="G24" t="s">
        <v>216</v>
      </c>
      <c r="H24" t="s">
        <v>213</v>
      </c>
      <c r="I24" t="s">
        <v>213</v>
      </c>
      <c r="J24" t="s">
        <v>256</v>
      </c>
      <c r="K24" t="s">
        <v>308</v>
      </c>
    </row>
    <row r="25" spans="1:11">
      <c r="A25" t="s">
        <v>84</v>
      </c>
      <c r="B25" t="s">
        <v>150</v>
      </c>
      <c r="C25" t="s">
        <v>158</v>
      </c>
      <c r="D25" t="s">
        <v>162</v>
      </c>
      <c r="E25" t="s">
        <v>196</v>
      </c>
      <c r="F25" t="s">
        <v>10</v>
      </c>
      <c r="G25" t="s">
        <v>158</v>
      </c>
      <c r="H25" t="s">
        <v>234</v>
      </c>
      <c r="I25" t="s">
        <v>234</v>
      </c>
      <c r="J25" t="s">
        <v>270</v>
      </c>
      <c r="K25" t="s">
        <v>309</v>
      </c>
    </row>
    <row r="26" spans="1:11">
      <c r="A26" t="s">
        <v>84</v>
      </c>
      <c r="B26" t="s">
        <v>151</v>
      </c>
      <c r="C26" t="s">
        <v>157</v>
      </c>
      <c r="D26" t="s">
        <v>163</v>
      </c>
      <c r="E26" t="s">
        <v>186</v>
      </c>
      <c r="F26" t="s">
        <v>213</v>
      </c>
      <c r="G26" t="s">
        <v>216</v>
      </c>
      <c r="H26" t="s">
        <v>213</v>
      </c>
      <c r="I26" t="s">
        <v>213</v>
      </c>
      <c r="J26" t="s">
        <v>271</v>
      </c>
      <c r="K26" t="s">
        <v>301</v>
      </c>
    </row>
    <row r="27" spans="1:11">
      <c r="A27" t="s">
        <v>84</v>
      </c>
      <c r="B27" t="s">
        <v>152</v>
      </c>
      <c r="C27" t="s">
        <v>158</v>
      </c>
      <c r="D27" t="s">
        <v>173</v>
      </c>
      <c r="E27" t="s">
        <v>38</v>
      </c>
      <c r="F27" t="s">
        <v>10</v>
      </c>
      <c r="G27" t="s">
        <v>158</v>
      </c>
      <c r="H27" t="s">
        <v>65</v>
      </c>
      <c r="I27" t="s">
        <v>65</v>
      </c>
      <c r="J27" t="s">
        <v>259</v>
      </c>
      <c r="K27" t="s">
        <v>294</v>
      </c>
    </row>
    <row r="29" spans="1:11">
      <c r="A29" t="s">
        <v>85</v>
      </c>
      <c r="B29" t="s">
        <v>141</v>
      </c>
      <c r="C29" t="s">
        <v>157</v>
      </c>
      <c r="D29" t="s">
        <v>175</v>
      </c>
      <c r="E29" t="s">
        <v>198</v>
      </c>
      <c r="F29" t="s">
        <v>12</v>
      </c>
      <c r="G29" t="s">
        <v>218</v>
      </c>
      <c r="H29" t="s">
        <v>235</v>
      </c>
      <c r="I29" t="s">
        <v>248</v>
      </c>
      <c r="J29" t="s">
        <v>272</v>
      </c>
      <c r="K29" t="s">
        <v>310</v>
      </c>
    </row>
    <row r="30" spans="1:11">
      <c r="A30" t="s">
        <v>85</v>
      </c>
      <c r="B30" t="s">
        <v>142</v>
      </c>
      <c r="C30" t="s">
        <v>156</v>
      </c>
      <c r="D30" t="s">
        <v>176</v>
      </c>
      <c r="E30" t="s">
        <v>199</v>
      </c>
      <c r="F30" t="s">
        <v>12</v>
      </c>
      <c r="G30" t="s">
        <v>219</v>
      </c>
      <c r="H30" t="s">
        <v>236</v>
      </c>
      <c r="I30" t="s">
        <v>234</v>
      </c>
      <c r="J30" t="s">
        <v>273</v>
      </c>
      <c r="K30" t="s">
        <v>311</v>
      </c>
    </row>
    <row r="31" spans="1:11">
      <c r="A31" t="s">
        <v>85</v>
      </c>
      <c r="B31" t="s">
        <v>143</v>
      </c>
      <c r="C31" t="s">
        <v>157</v>
      </c>
      <c r="D31" t="s">
        <v>177</v>
      </c>
      <c r="E31" t="s">
        <v>200</v>
      </c>
      <c r="F31" t="s">
        <v>11</v>
      </c>
      <c r="G31" t="s">
        <v>220</v>
      </c>
      <c r="H31" t="s">
        <v>237</v>
      </c>
      <c r="I31" t="s">
        <v>249</v>
      </c>
      <c r="J31" t="s">
        <v>274</v>
      </c>
      <c r="K31" t="s">
        <v>312</v>
      </c>
    </row>
    <row r="32" spans="1:11">
      <c r="A32" t="s">
        <v>85</v>
      </c>
      <c r="B32" t="s">
        <v>144</v>
      </c>
      <c r="C32" t="s">
        <v>158</v>
      </c>
      <c r="D32" t="s">
        <v>178</v>
      </c>
      <c r="E32" t="s">
        <v>201</v>
      </c>
      <c r="F32" t="s">
        <v>11</v>
      </c>
      <c r="G32" t="s">
        <v>221</v>
      </c>
      <c r="H32" t="s">
        <v>229</v>
      </c>
      <c r="I32" t="s">
        <v>247</v>
      </c>
      <c r="J32" t="s">
        <v>275</v>
      </c>
      <c r="K32" t="s">
        <v>313</v>
      </c>
    </row>
    <row r="33" spans="1:11">
      <c r="A33" t="s">
        <v>85</v>
      </c>
      <c r="B33" t="s">
        <v>145</v>
      </c>
      <c r="C33" t="s">
        <v>157</v>
      </c>
      <c r="D33" t="s">
        <v>179</v>
      </c>
      <c r="E33" t="s">
        <v>202</v>
      </c>
      <c r="F33" t="s">
        <v>11</v>
      </c>
      <c r="G33" t="s">
        <v>220</v>
      </c>
      <c r="H33" t="s">
        <v>230</v>
      </c>
      <c r="I33" t="s">
        <v>248</v>
      </c>
      <c r="J33" t="s">
        <v>276</v>
      </c>
      <c r="K33" t="s">
        <v>314</v>
      </c>
    </row>
    <row r="34" spans="1:11">
      <c r="A34" t="s">
        <v>85</v>
      </c>
      <c r="B34" t="s">
        <v>146</v>
      </c>
      <c r="C34" t="s">
        <v>158</v>
      </c>
      <c r="D34" t="s">
        <v>180</v>
      </c>
      <c r="E34" t="s">
        <v>203</v>
      </c>
      <c r="F34" t="s">
        <v>10</v>
      </c>
      <c r="G34" t="s">
        <v>158</v>
      </c>
      <c r="H34" t="s">
        <v>225</v>
      </c>
      <c r="I34" t="s">
        <v>225</v>
      </c>
      <c r="J34" t="s">
        <v>277</v>
      </c>
      <c r="K34" t="s">
        <v>315</v>
      </c>
    </row>
    <row r="35" spans="1:11">
      <c r="A35" t="s">
        <v>85</v>
      </c>
      <c r="B35" t="s">
        <v>147</v>
      </c>
      <c r="C35" t="s">
        <v>157</v>
      </c>
      <c r="D35" t="s">
        <v>177</v>
      </c>
      <c r="E35" t="s">
        <v>200</v>
      </c>
      <c r="F35" t="s">
        <v>11</v>
      </c>
      <c r="G35" t="s">
        <v>220</v>
      </c>
      <c r="H35" t="s">
        <v>238</v>
      </c>
      <c r="I35" t="s">
        <v>250</v>
      </c>
      <c r="J35" t="s">
        <v>278</v>
      </c>
      <c r="K35" t="s">
        <v>316</v>
      </c>
    </row>
    <row r="36" spans="1:11">
      <c r="A36" t="s">
        <v>85</v>
      </c>
      <c r="B36" t="s">
        <v>148</v>
      </c>
      <c r="C36" t="s">
        <v>158</v>
      </c>
      <c r="D36" t="s">
        <v>175</v>
      </c>
      <c r="E36" t="s">
        <v>204</v>
      </c>
      <c r="F36" t="s">
        <v>12</v>
      </c>
      <c r="G36" t="s">
        <v>222</v>
      </c>
      <c r="H36" t="s">
        <v>239</v>
      </c>
      <c r="I36" t="s">
        <v>251</v>
      </c>
      <c r="J36" t="s">
        <v>279</v>
      </c>
      <c r="K36" t="s">
        <v>317</v>
      </c>
    </row>
    <row r="37" spans="1:11">
      <c r="A37" t="s">
        <v>85</v>
      </c>
      <c r="B37" t="s">
        <v>149</v>
      </c>
      <c r="C37" t="s">
        <v>157</v>
      </c>
      <c r="D37" t="s">
        <v>178</v>
      </c>
      <c r="E37" t="s">
        <v>205</v>
      </c>
      <c r="F37" t="s">
        <v>11</v>
      </c>
      <c r="G37" t="s">
        <v>220</v>
      </c>
      <c r="H37" t="s">
        <v>240</v>
      </c>
      <c r="I37" t="s">
        <v>252</v>
      </c>
      <c r="J37" t="s">
        <v>280</v>
      </c>
      <c r="K37" t="s">
        <v>318</v>
      </c>
    </row>
    <row r="38" spans="1:11">
      <c r="A38" t="s">
        <v>85</v>
      </c>
      <c r="B38" t="s">
        <v>150</v>
      </c>
      <c r="C38" t="s">
        <v>158</v>
      </c>
      <c r="D38" t="s">
        <v>176</v>
      </c>
      <c r="E38" t="s">
        <v>206</v>
      </c>
      <c r="F38" t="s">
        <v>11</v>
      </c>
      <c r="G38" t="s">
        <v>221</v>
      </c>
      <c r="H38" t="s">
        <v>241</v>
      </c>
      <c r="I38" t="s">
        <v>253</v>
      </c>
      <c r="J38" t="s">
        <v>281</v>
      </c>
      <c r="K38" t="s">
        <v>319</v>
      </c>
    </row>
    <row r="39" spans="1:11">
      <c r="A39" t="s">
        <v>85</v>
      </c>
      <c r="B39" t="s">
        <v>151</v>
      </c>
      <c r="C39" t="s">
        <v>157</v>
      </c>
      <c r="D39" t="s">
        <v>181</v>
      </c>
      <c r="E39" t="s">
        <v>207</v>
      </c>
      <c r="F39" t="s">
        <v>10</v>
      </c>
      <c r="G39" t="s">
        <v>157</v>
      </c>
      <c r="H39" t="s">
        <v>242</v>
      </c>
      <c r="I39" t="s">
        <v>242</v>
      </c>
      <c r="J39" t="s">
        <v>275</v>
      </c>
      <c r="K39" t="s">
        <v>34</v>
      </c>
    </row>
    <row r="40" spans="1:11">
      <c r="A40" t="s">
        <v>85</v>
      </c>
      <c r="B40" t="s">
        <v>152</v>
      </c>
      <c r="C40" t="s">
        <v>158</v>
      </c>
      <c r="D40" t="s">
        <v>182</v>
      </c>
      <c r="E40" t="s">
        <v>208</v>
      </c>
      <c r="F40" t="s">
        <v>12</v>
      </c>
      <c r="G40" t="s">
        <v>222</v>
      </c>
      <c r="H40" t="s">
        <v>243</v>
      </c>
      <c r="I40" t="s">
        <v>254</v>
      </c>
      <c r="J40" t="s">
        <v>279</v>
      </c>
      <c r="K40" t="s">
        <v>320</v>
      </c>
    </row>
    <row r="42" spans="1:11">
      <c r="A42" t="s">
        <v>86</v>
      </c>
      <c r="B42" t="s">
        <v>141</v>
      </c>
      <c r="C42" t="s">
        <v>158</v>
      </c>
      <c r="D42" t="s">
        <v>13</v>
      </c>
      <c r="E42" t="s">
        <v>209</v>
      </c>
      <c r="F42" t="s">
        <v>213</v>
      </c>
      <c r="G42" t="s">
        <v>216</v>
      </c>
      <c r="H42" t="s">
        <v>213</v>
      </c>
      <c r="I42" t="s">
        <v>213</v>
      </c>
      <c r="J42" t="s">
        <v>282</v>
      </c>
      <c r="K42" t="s">
        <v>321</v>
      </c>
    </row>
    <row r="43" spans="1:11">
      <c r="A43" t="s">
        <v>86</v>
      </c>
      <c r="B43" t="s">
        <v>142</v>
      </c>
      <c r="C43" t="s">
        <v>157</v>
      </c>
      <c r="D43" t="s">
        <v>12</v>
      </c>
      <c r="E43" t="s">
        <v>210</v>
      </c>
      <c r="F43" t="s">
        <v>213</v>
      </c>
      <c r="G43" t="s">
        <v>216</v>
      </c>
      <c r="H43" t="s">
        <v>213</v>
      </c>
      <c r="I43" t="s">
        <v>213</v>
      </c>
      <c r="J43" t="s">
        <v>283</v>
      </c>
      <c r="K43" t="s">
        <v>322</v>
      </c>
    </row>
    <row r="44" spans="1:11">
      <c r="A44" t="s">
        <v>86</v>
      </c>
      <c r="B44" t="s">
        <v>143</v>
      </c>
      <c r="C44" t="s">
        <v>157</v>
      </c>
      <c r="D44" t="s">
        <v>165</v>
      </c>
      <c r="E44" t="s">
        <v>188</v>
      </c>
      <c r="F44" t="s">
        <v>213</v>
      </c>
      <c r="G44" t="s">
        <v>216</v>
      </c>
      <c r="H44" t="s">
        <v>213</v>
      </c>
      <c r="I44" t="s">
        <v>213</v>
      </c>
      <c r="J44" t="s">
        <v>284</v>
      </c>
      <c r="K44" t="s">
        <v>323</v>
      </c>
    </row>
    <row r="45" spans="1:11">
      <c r="A45" t="s">
        <v>86</v>
      </c>
      <c r="B45" t="s">
        <v>144</v>
      </c>
      <c r="C45" t="s">
        <v>158</v>
      </c>
      <c r="D45" t="s">
        <v>13</v>
      </c>
      <c r="E45" t="s">
        <v>209</v>
      </c>
      <c r="F45" t="s">
        <v>213</v>
      </c>
      <c r="G45" t="s">
        <v>216</v>
      </c>
      <c r="H45" t="s">
        <v>213</v>
      </c>
      <c r="I45" t="s">
        <v>213</v>
      </c>
      <c r="J45" t="s">
        <v>285</v>
      </c>
      <c r="K45" t="s">
        <v>324</v>
      </c>
    </row>
    <row r="46" spans="1:11">
      <c r="A46" t="s">
        <v>86</v>
      </c>
      <c r="B46" t="s">
        <v>145</v>
      </c>
      <c r="C46" t="s">
        <v>158</v>
      </c>
      <c r="D46" t="s">
        <v>12</v>
      </c>
      <c r="E46" t="s">
        <v>210</v>
      </c>
      <c r="F46" t="s">
        <v>213</v>
      </c>
      <c r="G46" t="s">
        <v>216</v>
      </c>
      <c r="H46" t="s">
        <v>213</v>
      </c>
      <c r="I46" t="s">
        <v>213</v>
      </c>
      <c r="J46" t="s">
        <v>282</v>
      </c>
      <c r="K46" t="s">
        <v>325</v>
      </c>
    </row>
    <row r="47" spans="1:11">
      <c r="A47" t="s">
        <v>86</v>
      </c>
      <c r="B47" t="s">
        <v>146</v>
      </c>
      <c r="C47" t="s">
        <v>157</v>
      </c>
      <c r="D47" t="s">
        <v>11</v>
      </c>
      <c r="E47" t="s">
        <v>211</v>
      </c>
      <c r="F47" t="s">
        <v>213</v>
      </c>
      <c r="G47" t="s">
        <v>216</v>
      </c>
      <c r="H47" t="s">
        <v>213</v>
      </c>
      <c r="I47" t="s">
        <v>213</v>
      </c>
      <c r="J47" t="s">
        <v>286</v>
      </c>
      <c r="K47" t="s">
        <v>326</v>
      </c>
    </row>
    <row r="48" spans="1:11">
      <c r="A48" t="s">
        <v>86</v>
      </c>
      <c r="B48" t="s">
        <v>147</v>
      </c>
      <c r="C48" t="s">
        <v>158</v>
      </c>
      <c r="D48" t="s">
        <v>12</v>
      </c>
      <c r="E48" t="s">
        <v>210</v>
      </c>
      <c r="F48" t="s">
        <v>213</v>
      </c>
      <c r="G48" t="s">
        <v>216</v>
      </c>
      <c r="H48" t="s">
        <v>213</v>
      </c>
      <c r="I48" t="s">
        <v>213</v>
      </c>
      <c r="J48" t="s">
        <v>287</v>
      </c>
      <c r="K48" t="s">
        <v>327</v>
      </c>
    </row>
    <row r="49" spans="1:11">
      <c r="A49" t="s">
        <v>86</v>
      </c>
      <c r="B49" t="s">
        <v>148</v>
      </c>
      <c r="C49" t="s">
        <v>158</v>
      </c>
      <c r="D49" t="s">
        <v>13</v>
      </c>
      <c r="E49" t="s">
        <v>209</v>
      </c>
      <c r="F49" t="s">
        <v>10</v>
      </c>
      <c r="G49" t="s">
        <v>158</v>
      </c>
      <c r="H49" t="s">
        <v>244</v>
      </c>
      <c r="I49" t="s">
        <v>244</v>
      </c>
      <c r="J49" t="s">
        <v>288</v>
      </c>
      <c r="K49" t="s">
        <v>296</v>
      </c>
    </row>
    <row r="50" spans="1:11">
      <c r="A50" t="s">
        <v>86</v>
      </c>
      <c r="B50" t="s">
        <v>149</v>
      </c>
      <c r="C50" t="s">
        <v>157</v>
      </c>
      <c r="D50" t="s">
        <v>11</v>
      </c>
      <c r="E50" t="s">
        <v>211</v>
      </c>
      <c r="F50" t="s">
        <v>213</v>
      </c>
      <c r="G50" t="s">
        <v>216</v>
      </c>
      <c r="H50" t="s">
        <v>213</v>
      </c>
      <c r="I50" t="s">
        <v>213</v>
      </c>
      <c r="J50" t="s">
        <v>289</v>
      </c>
      <c r="K50" t="s">
        <v>328</v>
      </c>
    </row>
    <row r="51" spans="1:11">
      <c r="A51" t="s">
        <v>86</v>
      </c>
      <c r="B51" t="s">
        <v>150</v>
      </c>
      <c r="C51" t="s">
        <v>158</v>
      </c>
      <c r="D51" t="s">
        <v>12</v>
      </c>
      <c r="E51" t="s">
        <v>210</v>
      </c>
      <c r="F51" t="s">
        <v>213</v>
      </c>
      <c r="G51" t="s">
        <v>216</v>
      </c>
      <c r="H51" t="s">
        <v>213</v>
      </c>
      <c r="I51" t="s">
        <v>213</v>
      </c>
      <c r="J51" t="s">
        <v>290</v>
      </c>
      <c r="K51" t="s">
        <v>329</v>
      </c>
    </row>
    <row r="52" spans="1:11">
      <c r="A52" t="s">
        <v>86</v>
      </c>
      <c r="B52" t="s">
        <v>151</v>
      </c>
      <c r="C52" t="s">
        <v>157</v>
      </c>
      <c r="D52" t="s">
        <v>11</v>
      </c>
      <c r="E52" t="s">
        <v>211</v>
      </c>
      <c r="F52" t="s">
        <v>213</v>
      </c>
      <c r="G52" t="s">
        <v>216</v>
      </c>
      <c r="H52" t="s">
        <v>213</v>
      </c>
      <c r="I52" t="s">
        <v>213</v>
      </c>
      <c r="J52" t="s">
        <v>291</v>
      </c>
      <c r="K52" t="s">
        <v>330</v>
      </c>
    </row>
    <row r="53" spans="1:11">
      <c r="A53" t="s">
        <v>86</v>
      </c>
      <c r="B53" t="s">
        <v>152</v>
      </c>
      <c r="C53" t="s">
        <v>158</v>
      </c>
      <c r="D53" t="s">
        <v>165</v>
      </c>
      <c r="E53" t="s">
        <v>188</v>
      </c>
      <c r="F53" t="s">
        <v>10</v>
      </c>
      <c r="G53" t="s">
        <v>158</v>
      </c>
      <c r="H53" t="s">
        <v>63</v>
      </c>
      <c r="I53" t="s">
        <v>63</v>
      </c>
      <c r="J53" t="s">
        <v>267</v>
      </c>
      <c r="K53" t="s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cols>
    <col min="1" max="1" width="27.7109375" customWidth="1"/>
    <col min="2" max="2" width="14.7109375" customWidth="1"/>
    <col min="3" max="3" width="16.7109375" customWidth="1"/>
    <col min="4" max="4" width="14.7109375" customWidth="1"/>
    <col min="5" max="5" width="19.7109375" customWidth="1"/>
    <col min="6" max="6" width="27.7109375" customWidth="1"/>
    <col min="7" max="8" width="18.7109375" customWidth="1"/>
    <col min="9" max="9" width="14.7109375" customWidth="1"/>
    <col min="10" max="12" width="16.7109375" customWidth="1"/>
  </cols>
  <sheetData>
    <row r="1" spans="1:12">
      <c r="A1" t="s">
        <v>540</v>
      </c>
    </row>
    <row r="2" spans="1:12">
      <c r="A2" t="s">
        <v>332</v>
      </c>
      <c r="B2" t="s">
        <v>82</v>
      </c>
      <c r="C2" t="s">
        <v>89</v>
      </c>
      <c r="D2" t="s">
        <v>358</v>
      </c>
      <c r="E2" t="s">
        <v>384</v>
      </c>
      <c r="F2" t="s">
        <v>409</v>
      </c>
      <c r="G2" t="s">
        <v>433</v>
      </c>
      <c r="H2" t="s">
        <v>459</v>
      </c>
      <c r="I2" t="s">
        <v>485</v>
      </c>
      <c r="J2" t="s">
        <v>491</v>
      </c>
      <c r="K2" t="s">
        <v>503</v>
      </c>
      <c r="L2" t="s">
        <v>521</v>
      </c>
    </row>
    <row r="3" spans="1:12">
      <c r="A3" t="s">
        <v>333</v>
      </c>
      <c r="B3" t="s">
        <v>83</v>
      </c>
      <c r="C3" t="s">
        <v>25</v>
      </c>
      <c r="D3" t="s">
        <v>359</v>
      </c>
      <c r="E3" t="s">
        <v>385</v>
      </c>
      <c r="F3" t="s">
        <v>410</v>
      </c>
      <c r="G3" t="s">
        <v>434</v>
      </c>
      <c r="H3" t="s">
        <v>460</v>
      </c>
      <c r="I3" t="s">
        <v>224</v>
      </c>
      <c r="J3" t="s">
        <v>492</v>
      </c>
      <c r="K3" t="s">
        <v>504</v>
      </c>
      <c r="L3" t="s">
        <v>516</v>
      </c>
    </row>
    <row r="4" spans="1:12">
      <c r="A4" t="s">
        <v>334</v>
      </c>
      <c r="B4" t="s">
        <v>83</v>
      </c>
      <c r="C4" t="s">
        <v>25</v>
      </c>
      <c r="D4" t="s">
        <v>360</v>
      </c>
      <c r="E4" t="s">
        <v>386</v>
      </c>
      <c r="F4" t="s">
        <v>396</v>
      </c>
      <c r="G4" t="s">
        <v>435</v>
      </c>
      <c r="H4" t="s">
        <v>461</v>
      </c>
      <c r="I4" t="s">
        <v>225</v>
      </c>
      <c r="J4" t="s">
        <v>493</v>
      </c>
      <c r="K4" t="s">
        <v>256</v>
      </c>
      <c r="L4" t="s">
        <v>522</v>
      </c>
    </row>
    <row r="5" spans="1:12">
      <c r="A5" t="s">
        <v>335</v>
      </c>
      <c r="B5" t="s">
        <v>84</v>
      </c>
      <c r="C5" t="s">
        <v>17</v>
      </c>
      <c r="D5" t="s">
        <v>361</v>
      </c>
      <c r="E5" t="s">
        <v>387</v>
      </c>
      <c r="F5" t="s">
        <v>411</v>
      </c>
      <c r="G5" t="s">
        <v>436</v>
      </c>
      <c r="H5" t="s">
        <v>462</v>
      </c>
      <c r="I5" t="s">
        <v>229</v>
      </c>
      <c r="J5" t="s">
        <v>494</v>
      </c>
      <c r="K5" t="s">
        <v>220</v>
      </c>
      <c r="L5" t="s">
        <v>523</v>
      </c>
    </row>
    <row r="6" spans="1:12">
      <c r="A6" t="s">
        <v>336</v>
      </c>
      <c r="B6" t="s">
        <v>84</v>
      </c>
      <c r="C6" t="s">
        <v>17</v>
      </c>
      <c r="D6" t="s">
        <v>362</v>
      </c>
      <c r="E6" t="s">
        <v>388</v>
      </c>
      <c r="F6" t="s">
        <v>412</v>
      </c>
      <c r="G6" t="s">
        <v>437</v>
      </c>
      <c r="H6" t="s">
        <v>463</v>
      </c>
      <c r="I6" t="s">
        <v>226</v>
      </c>
      <c r="J6" t="s">
        <v>259</v>
      </c>
      <c r="K6" t="s">
        <v>505</v>
      </c>
      <c r="L6" t="s">
        <v>524</v>
      </c>
    </row>
    <row r="7" spans="1:12">
      <c r="A7" t="s">
        <v>337</v>
      </c>
      <c r="B7" t="s">
        <v>85</v>
      </c>
      <c r="C7" t="s">
        <v>16</v>
      </c>
      <c r="D7" t="s">
        <v>363</v>
      </c>
      <c r="E7" t="s">
        <v>389</v>
      </c>
      <c r="F7" t="s">
        <v>413</v>
      </c>
      <c r="G7" t="s">
        <v>438</v>
      </c>
      <c r="H7" t="s">
        <v>464</v>
      </c>
      <c r="I7" t="s">
        <v>235</v>
      </c>
      <c r="J7" t="s">
        <v>495</v>
      </c>
      <c r="K7" t="s">
        <v>506</v>
      </c>
      <c r="L7" t="s">
        <v>321</v>
      </c>
    </row>
    <row r="8" spans="1:12">
      <c r="A8" t="s">
        <v>338</v>
      </c>
      <c r="B8" t="s">
        <v>85</v>
      </c>
      <c r="C8" t="s">
        <v>16</v>
      </c>
      <c r="D8" t="s">
        <v>364</v>
      </c>
      <c r="E8" t="s">
        <v>390</v>
      </c>
      <c r="F8" t="s">
        <v>414</v>
      </c>
      <c r="G8" t="s">
        <v>439</v>
      </c>
      <c r="H8" t="s">
        <v>465</v>
      </c>
      <c r="I8" t="s">
        <v>486</v>
      </c>
      <c r="J8" t="s">
        <v>496</v>
      </c>
      <c r="K8" t="s">
        <v>493</v>
      </c>
      <c r="L8" t="s">
        <v>323</v>
      </c>
    </row>
    <row r="9" spans="1:12">
      <c r="A9" t="s">
        <v>339</v>
      </c>
      <c r="B9" t="s">
        <v>85</v>
      </c>
      <c r="C9" t="s">
        <v>16</v>
      </c>
      <c r="D9" t="s">
        <v>365</v>
      </c>
      <c r="E9" t="s">
        <v>391</v>
      </c>
      <c r="F9" t="s">
        <v>415</v>
      </c>
      <c r="G9" t="s">
        <v>440</v>
      </c>
      <c r="H9" t="s">
        <v>466</v>
      </c>
      <c r="I9" t="s">
        <v>487</v>
      </c>
      <c r="J9" t="s">
        <v>322</v>
      </c>
      <c r="K9" t="s">
        <v>507</v>
      </c>
      <c r="L9" t="s">
        <v>525</v>
      </c>
    </row>
    <row r="10" spans="1:12">
      <c r="A10" t="s">
        <v>340</v>
      </c>
      <c r="B10" t="s">
        <v>83</v>
      </c>
      <c r="C10" t="s">
        <v>25</v>
      </c>
      <c r="D10" t="s">
        <v>366</v>
      </c>
      <c r="E10" t="s">
        <v>392</v>
      </c>
      <c r="F10" t="s">
        <v>416</v>
      </c>
      <c r="G10" t="s">
        <v>441</v>
      </c>
      <c r="H10" t="s">
        <v>467</v>
      </c>
      <c r="I10" t="s">
        <v>226</v>
      </c>
      <c r="J10" t="s">
        <v>497</v>
      </c>
      <c r="K10" t="s">
        <v>505</v>
      </c>
      <c r="L10" t="s">
        <v>526</v>
      </c>
    </row>
    <row r="11" spans="1:12">
      <c r="A11" t="s">
        <v>341</v>
      </c>
      <c r="B11" t="s">
        <v>84</v>
      </c>
      <c r="C11" t="s">
        <v>17</v>
      </c>
      <c r="D11" t="s">
        <v>367</v>
      </c>
      <c r="E11" t="s">
        <v>393</v>
      </c>
      <c r="F11" t="s">
        <v>417</v>
      </c>
      <c r="G11" t="s">
        <v>442</v>
      </c>
      <c r="H11" t="s">
        <v>468</v>
      </c>
      <c r="I11" t="s">
        <v>231</v>
      </c>
      <c r="J11" t="s">
        <v>215</v>
      </c>
      <c r="K11" t="s">
        <v>508</v>
      </c>
      <c r="L11" t="s">
        <v>506</v>
      </c>
    </row>
    <row r="12" spans="1:12">
      <c r="A12" t="s">
        <v>342</v>
      </c>
      <c r="B12" t="s">
        <v>85</v>
      </c>
      <c r="C12" t="s">
        <v>16</v>
      </c>
      <c r="D12" t="s">
        <v>368</v>
      </c>
      <c r="E12" t="s">
        <v>394</v>
      </c>
      <c r="F12" t="s">
        <v>418</v>
      </c>
      <c r="G12" t="s">
        <v>443</v>
      </c>
      <c r="H12" t="s">
        <v>469</v>
      </c>
      <c r="I12" t="s">
        <v>249</v>
      </c>
      <c r="J12" t="s">
        <v>498</v>
      </c>
      <c r="K12" t="s">
        <v>509</v>
      </c>
      <c r="L12" t="s">
        <v>527</v>
      </c>
    </row>
    <row r="13" spans="1:12">
      <c r="A13" t="s">
        <v>343</v>
      </c>
      <c r="B13" t="s">
        <v>83</v>
      </c>
      <c r="C13" t="s">
        <v>25</v>
      </c>
      <c r="D13" t="s">
        <v>369</v>
      </c>
      <c r="E13" t="s">
        <v>395</v>
      </c>
      <c r="F13" t="s">
        <v>419</v>
      </c>
      <c r="G13" t="s">
        <v>444</v>
      </c>
      <c r="H13" t="s">
        <v>470</v>
      </c>
      <c r="I13" t="s">
        <v>138</v>
      </c>
      <c r="J13" t="s">
        <v>499</v>
      </c>
      <c r="K13" t="s">
        <v>510</v>
      </c>
      <c r="L13" t="s">
        <v>496</v>
      </c>
    </row>
    <row r="14" spans="1:12">
      <c r="A14" t="s">
        <v>344</v>
      </c>
      <c r="B14" t="s">
        <v>84</v>
      </c>
      <c r="C14" t="s">
        <v>17</v>
      </c>
      <c r="D14" t="s">
        <v>370</v>
      </c>
      <c r="E14" t="s">
        <v>396</v>
      </c>
      <c r="F14" t="s">
        <v>420</v>
      </c>
      <c r="G14" t="s">
        <v>445</v>
      </c>
      <c r="H14" t="s">
        <v>471</v>
      </c>
      <c r="I14" t="s">
        <v>226</v>
      </c>
      <c r="J14" t="s">
        <v>32</v>
      </c>
      <c r="K14" t="s">
        <v>262</v>
      </c>
      <c r="L14" t="s">
        <v>528</v>
      </c>
    </row>
    <row r="15" spans="1:12">
      <c r="A15" t="s">
        <v>345</v>
      </c>
      <c r="B15" t="s">
        <v>85</v>
      </c>
      <c r="C15" t="s">
        <v>16</v>
      </c>
      <c r="D15" t="s">
        <v>371</v>
      </c>
      <c r="E15" t="s">
        <v>397</v>
      </c>
      <c r="F15" t="s">
        <v>421</v>
      </c>
      <c r="G15" t="s">
        <v>446</v>
      </c>
      <c r="H15" t="s">
        <v>472</v>
      </c>
      <c r="I15" t="s">
        <v>488</v>
      </c>
      <c r="J15" t="s">
        <v>494</v>
      </c>
      <c r="K15" t="s">
        <v>511</v>
      </c>
      <c r="L15" t="s">
        <v>529</v>
      </c>
    </row>
    <row r="16" spans="1:12">
      <c r="A16" t="s">
        <v>346</v>
      </c>
      <c r="B16" t="s">
        <v>83</v>
      </c>
      <c r="C16" t="s">
        <v>25</v>
      </c>
      <c r="D16" t="s">
        <v>372</v>
      </c>
      <c r="E16" t="s">
        <v>398</v>
      </c>
      <c r="F16" t="s">
        <v>422</v>
      </c>
      <c r="G16" t="s">
        <v>447</v>
      </c>
      <c r="H16" t="s">
        <v>473</v>
      </c>
      <c r="I16" t="s">
        <v>65</v>
      </c>
      <c r="J16" t="s">
        <v>215</v>
      </c>
      <c r="K16" t="s">
        <v>512</v>
      </c>
      <c r="L16" t="s">
        <v>530</v>
      </c>
    </row>
    <row r="17" spans="1:12">
      <c r="A17" t="s">
        <v>347</v>
      </c>
      <c r="B17" t="s">
        <v>84</v>
      </c>
      <c r="C17" t="s">
        <v>17</v>
      </c>
      <c r="D17" t="s">
        <v>373</v>
      </c>
      <c r="E17" t="s">
        <v>399</v>
      </c>
      <c r="F17" t="s">
        <v>423</v>
      </c>
      <c r="G17" t="s">
        <v>448</v>
      </c>
      <c r="H17" t="s">
        <v>474</v>
      </c>
      <c r="I17" t="s">
        <v>66</v>
      </c>
      <c r="J17" t="s">
        <v>500</v>
      </c>
      <c r="K17" t="s">
        <v>513</v>
      </c>
      <c r="L17" t="s">
        <v>155</v>
      </c>
    </row>
    <row r="18" spans="1:12">
      <c r="A18" t="s">
        <v>348</v>
      </c>
      <c r="B18" t="s">
        <v>85</v>
      </c>
      <c r="C18" t="s">
        <v>16</v>
      </c>
      <c r="D18" t="s">
        <v>374</v>
      </c>
      <c r="E18" t="s">
        <v>400</v>
      </c>
      <c r="F18" t="s">
        <v>424</v>
      </c>
      <c r="G18" t="s">
        <v>449</v>
      </c>
      <c r="H18" t="s">
        <v>475</v>
      </c>
      <c r="I18" t="s">
        <v>225</v>
      </c>
      <c r="J18" t="s">
        <v>215</v>
      </c>
      <c r="K18" t="s">
        <v>514</v>
      </c>
      <c r="L18" t="s">
        <v>531</v>
      </c>
    </row>
    <row r="19" spans="1:12">
      <c r="A19" t="s">
        <v>349</v>
      </c>
      <c r="B19" t="s">
        <v>83</v>
      </c>
      <c r="C19" t="s">
        <v>25</v>
      </c>
      <c r="D19" t="s">
        <v>375</v>
      </c>
      <c r="E19" t="s">
        <v>401</v>
      </c>
      <c r="F19" t="s">
        <v>425</v>
      </c>
      <c r="G19" t="s">
        <v>450</v>
      </c>
      <c r="H19" t="s">
        <v>476</v>
      </c>
      <c r="I19" t="s">
        <v>66</v>
      </c>
      <c r="J19" t="s">
        <v>498</v>
      </c>
      <c r="K19" t="s">
        <v>515</v>
      </c>
      <c r="L19" t="s">
        <v>494</v>
      </c>
    </row>
    <row r="20" spans="1:12">
      <c r="A20" t="s">
        <v>350</v>
      </c>
      <c r="B20" t="s">
        <v>84</v>
      </c>
      <c r="C20" t="s">
        <v>17</v>
      </c>
      <c r="D20" t="s">
        <v>376</v>
      </c>
      <c r="E20" t="s">
        <v>385</v>
      </c>
      <c r="F20" t="s">
        <v>426</v>
      </c>
      <c r="G20" t="s">
        <v>451</v>
      </c>
      <c r="H20" t="s">
        <v>477</v>
      </c>
      <c r="I20" t="s">
        <v>228</v>
      </c>
      <c r="J20" t="s">
        <v>32</v>
      </c>
      <c r="K20" t="s">
        <v>287</v>
      </c>
      <c r="L20" t="s">
        <v>532</v>
      </c>
    </row>
    <row r="21" spans="1:12">
      <c r="A21" t="s">
        <v>351</v>
      </c>
      <c r="B21" t="s">
        <v>85</v>
      </c>
      <c r="C21" t="s">
        <v>16</v>
      </c>
      <c r="D21" t="s">
        <v>377</v>
      </c>
      <c r="E21" t="s">
        <v>402</v>
      </c>
      <c r="F21" t="s">
        <v>427</v>
      </c>
      <c r="G21" t="s">
        <v>452</v>
      </c>
      <c r="H21" t="s">
        <v>478</v>
      </c>
      <c r="I21" t="s">
        <v>239</v>
      </c>
      <c r="J21" t="s">
        <v>501</v>
      </c>
      <c r="K21" t="s">
        <v>516</v>
      </c>
      <c r="L21" t="s">
        <v>533</v>
      </c>
    </row>
    <row r="22" spans="1:12">
      <c r="A22" t="s">
        <v>352</v>
      </c>
      <c r="B22" t="s">
        <v>83</v>
      </c>
      <c r="C22" t="s">
        <v>25</v>
      </c>
      <c r="D22" t="s">
        <v>378</v>
      </c>
      <c r="E22" t="s">
        <v>403</v>
      </c>
      <c r="F22" t="s">
        <v>428</v>
      </c>
      <c r="G22" t="s">
        <v>453</v>
      </c>
      <c r="H22" t="s">
        <v>479</v>
      </c>
      <c r="I22" t="s">
        <v>228</v>
      </c>
      <c r="J22" t="s">
        <v>502</v>
      </c>
      <c r="K22" t="s">
        <v>287</v>
      </c>
      <c r="L22" t="s">
        <v>534</v>
      </c>
    </row>
    <row r="23" spans="1:12">
      <c r="A23" t="s">
        <v>353</v>
      </c>
      <c r="B23" t="s">
        <v>84</v>
      </c>
      <c r="C23" t="s">
        <v>17</v>
      </c>
      <c r="D23" t="s">
        <v>379</v>
      </c>
      <c r="E23" t="s">
        <v>404</v>
      </c>
      <c r="F23" t="s">
        <v>429</v>
      </c>
      <c r="G23" t="s">
        <v>454</v>
      </c>
      <c r="H23" t="s">
        <v>480</v>
      </c>
      <c r="I23" t="s">
        <v>489</v>
      </c>
      <c r="J23" t="s">
        <v>497</v>
      </c>
      <c r="K23" t="s">
        <v>517</v>
      </c>
      <c r="L23" t="s">
        <v>535</v>
      </c>
    </row>
    <row r="24" spans="1:12">
      <c r="A24" t="s">
        <v>354</v>
      </c>
      <c r="B24" t="s">
        <v>85</v>
      </c>
      <c r="C24" t="s">
        <v>16</v>
      </c>
      <c r="D24" t="s">
        <v>380</v>
      </c>
      <c r="E24" t="s">
        <v>405</v>
      </c>
      <c r="F24" t="s">
        <v>430</v>
      </c>
      <c r="G24" t="s">
        <v>455</v>
      </c>
      <c r="H24" t="s">
        <v>481</v>
      </c>
      <c r="I24" t="s">
        <v>490</v>
      </c>
      <c r="J24" t="s">
        <v>493</v>
      </c>
      <c r="K24" t="s">
        <v>518</v>
      </c>
      <c r="L24" t="s">
        <v>536</v>
      </c>
    </row>
    <row r="25" spans="1:12">
      <c r="A25" t="s">
        <v>355</v>
      </c>
      <c r="B25" t="s">
        <v>83</v>
      </c>
      <c r="C25" t="s">
        <v>25</v>
      </c>
      <c r="D25" t="s">
        <v>381</v>
      </c>
      <c r="E25" t="s">
        <v>406</v>
      </c>
      <c r="F25" t="s">
        <v>431</v>
      </c>
      <c r="G25" t="s">
        <v>456</v>
      </c>
      <c r="H25" t="s">
        <v>482</v>
      </c>
      <c r="I25" t="s">
        <v>64</v>
      </c>
      <c r="J25" t="s">
        <v>272</v>
      </c>
      <c r="K25" t="s">
        <v>519</v>
      </c>
      <c r="L25" t="s">
        <v>537</v>
      </c>
    </row>
    <row r="26" spans="1:12">
      <c r="A26" t="s">
        <v>356</v>
      </c>
      <c r="B26" t="s">
        <v>84</v>
      </c>
      <c r="C26" t="s">
        <v>17</v>
      </c>
      <c r="D26" t="s">
        <v>382</v>
      </c>
      <c r="E26" t="s">
        <v>407</v>
      </c>
      <c r="F26" t="s">
        <v>432</v>
      </c>
      <c r="G26" t="s">
        <v>457</v>
      </c>
      <c r="H26" t="s">
        <v>483</v>
      </c>
      <c r="I26" t="s">
        <v>65</v>
      </c>
      <c r="J26" t="s">
        <v>502</v>
      </c>
      <c r="K26" t="s">
        <v>512</v>
      </c>
      <c r="L26" t="s">
        <v>538</v>
      </c>
    </row>
    <row r="27" spans="1:12">
      <c r="A27" t="s">
        <v>357</v>
      </c>
      <c r="B27" t="s">
        <v>85</v>
      </c>
      <c r="C27" t="s">
        <v>16</v>
      </c>
      <c r="D27" t="s">
        <v>383</v>
      </c>
      <c r="E27" t="s">
        <v>408</v>
      </c>
      <c r="F27" t="s">
        <v>431</v>
      </c>
      <c r="G27" t="s">
        <v>458</v>
      </c>
      <c r="H27" t="s">
        <v>484</v>
      </c>
      <c r="I27" t="s">
        <v>243</v>
      </c>
      <c r="J27" t="s">
        <v>321</v>
      </c>
      <c r="K27" t="s">
        <v>520</v>
      </c>
      <c r="L27" t="s">
        <v>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cols>
    <col min="1" max="1" width="38.7109375" customWidth="1"/>
    <col min="2" max="2" width="46.7109375" customWidth="1"/>
    <col min="3" max="3" width="14.7109375" customWidth="1"/>
    <col min="4" max="4" width="46.7109375" customWidth="1"/>
    <col min="5" max="5" width="38.7109375" customWidth="1"/>
    <col min="6" max="6" width="20.7109375" customWidth="1"/>
    <col min="7" max="7" width="16.7109375" customWidth="1"/>
  </cols>
  <sheetData>
    <row r="1" spans="1:7">
      <c r="A1" t="s">
        <v>703</v>
      </c>
    </row>
    <row r="3" spans="1:7">
      <c r="A3" t="s">
        <v>541</v>
      </c>
    </row>
    <row r="4" spans="1:7">
      <c r="A4" t="s">
        <v>15</v>
      </c>
      <c r="B4" t="s">
        <v>577</v>
      </c>
      <c r="C4" t="s">
        <v>599</v>
      </c>
      <c r="D4" t="s">
        <v>625</v>
      </c>
      <c r="E4" t="s">
        <v>214</v>
      </c>
      <c r="F4" t="s">
        <v>245</v>
      </c>
      <c r="G4" t="s">
        <v>71</v>
      </c>
    </row>
    <row r="5" spans="1:7">
      <c r="A5" t="s">
        <v>25</v>
      </c>
      <c r="B5" t="s">
        <v>38</v>
      </c>
      <c r="C5" t="s">
        <v>128</v>
      </c>
      <c r="D5" t="s">
        <v>626</v>
      </c>
      <c r="E5" t="s">
        <v>49</v>
      </c>
      <c r="F5" t="s">
        <v>64</v>
      </c>
      <c r="G5" t="s">
        <v>74</v>
      </c>
    </row>
    <row r="6" spans="1:7">
      <c r="A6" t="s">
        <v>17</v>
      </c>
      <c r="B6" t="s">
        <v>39</v>
      </c>
      <c r="C6" t="s">
        <v>128</v>
      </c>
      <c r="D6" t="s">
        <v>627</v>
      </c>
      <c r="E6" t="s">
        <v>50</v>
      </c>
      <c r="F6" t="s">
        <v>65</v>
      </c>
      <c r="G6" t="s">
        <v>79</v>
      </c>
    </row>
    <row r="7" spans="1:7">
      <c r="A7" t="s">
        <v>16</v>
      </c>
      <c r="B7" t="s">
        <v>40</v>
      </c>
      <c r="C7" t="s">
        <v>129</v>
      </c>
      <c r="D7" t="s">
        <v>628</v>
      </c>
      <c r="E7" t="s">
        <v>51</v>
      </c>
      <c r="F7" t="s">
        <v>66</v>
      </c>
      <c r="G7" t="s">
        <v>80</v>
      </c>
    </row>
    <row r="8" spans="1:7">
      <c r="A8" t="s">
        <v>18</v>
      </c>
      <c r="B8" t="s">
        <v>37</v>
      </c>
      <c r="C8" t="s">
        <v>130</v>
      </c>
      <c r="D8" t="s">
        <v>629</v>
      </c>
      <c r="E8" t="s">
        <v>48</v>
      </c>
      <c r="F8" t="s">
        <v>63</v>
      </c>
      <c r="G8" t="s">
        <v>78</v>
      </c>
    </row>
    <row r="9" spans="1:7">
      <c r="A9" t="s">
        <v>90</v>
      </c>
      <c r="B9" t="s">
        <v>578</v>
      </c>
      <c r="C9" t="s">
        <v>131</v>
      </c>
      <c r="D9" t="s">
        <v>630</v>
      </c>
      <c r="E9" t="s">
        <v>650</v>
      </c>
      <c r="F9" t="s">
        <v>225</v>
      </c>
      <c r="G9" t="s">
        <v>687</v>
      </c>
    </row>
    <row r="10" spans="1:7">
      <c r="A10" t="s">
        <v>91</v>
      </c>
      <c r="B10" t="s">
        <v>194</v>
      </c>
      <c r="C10" t="s">
        <v>132</v>
      </c>
      <c r="D10" t="s">
        <v>631</v>
      </c>
      <c r="E10" t="s">
        <v>608</v>
      </c>
      <c r="F10" t="s">
        <v>667</v>
      </c>
      <c r="G10" t="s">
        <v>688</v>
      </c>
    </row>
    <row r="11" spans="1:7">
      <c r="A11" t="s">
        <v>542</v>
      </c>
      <c r="B11" t="s">
        <v>579</v>
      </c>
      <c r="C11" t="s">
        <v>600</v>
      </c>
      <c r="D11" t="s">
        <v>632</v>
      </c>
      <c r="E11" t="s">
        <v>651</v>
      </c>
      <c r="F11" t="s">
        <v>22</v>
      </c>
      <c r="G11" t="s">
        <v>689</v>
      </c>
    </row>
    <row r="13" spans="1:7">
      <c r="A13" t="s">
        <v>543</v>
      </c>
    </row>
    <row r="14" spans="1:7">
      <c r="A14" t="s">
        <v>140</v>
      </c>
      <c r="B14" t="s">
        <v>580</v>
      </c>
      <c r="C14" t="s">
        <v>601</v>
      </c>
      <c r="D14" t="s">
        <v>633</v>
      </c>
      <c r="E14" t="s">
        <v>652</v>
      </c>
      <c r="F14" t="s">
        <v>668</v>
      </c>
      <c r="G14" t="s">
        <v>521</v>
      </c>
    </row>
    <row r="15" spans="1:7">
      <c r="A15" t="s">
        <v>544</v>
      </c>
      <c r="B15" t="s">
        <v>581</v>
      </c>
      <c r="C15" t="s">
        <v>602</v>
      </c>
      <c r="D15" t="s">
        <v>66</v>
      </c>
      <c r="E15" t="s">
        <v>162</v>
      </c>
      <c r="F15" t="s">
        <v>669</v>
      </c>
      <c r="G15" t="s">
        <v>690</v>
      </c>
    </row>
    <row r="16" spans="1:7">
      <c r="A16" t="s">
        <v>545</v>
      </c>
      <c r="B16" t="s">
        <v>582</v>
      </c>
      <c r="C16" t="s">
        <v>603</v>
      </c>
      <c r="D16" t="s">
        <v>33</v>
      </c>
      <c r="E16" t="s">
        <v>169</v>
      </c>
      <c r="F16" t="s">
        <v>670</v>
      </c>
      <c r="G16" t="s">
        <v>691</v>
      </c>
    </row>
    <row r="17" spans="1:7">
      <c r="A17" t="s">
        <v>546</v>
      </c>
      <c r="B17" t="s">
        <v>40</v>
      </c>
      <c r="C17" t="s">
        <v>50</v>
      </c>
      <c r="D17" t="s">
        <v>227</v>
      </c>
      <c r="E17" t="s">
        <v>167</v>
      </c>
      <c r="F17" t="s">
        <v>671</v>
      </c>
      <c r="G17" t="s">
        <v>692</v>
      </c>
    </row>
    <row r="18" spans="1:7">
      <c r="A18" t="s">
        <v>547</v>
      </c>
      <c r="B18" t="s">
        <v>194</v>
      </c>
      <c r="C18" t="s">
        <v>537</v>
      </c>
      <c r="D18" t="s">
        <v>22</v>
      </c>
      <c r="E18" t="s">
        <v>163</v>
      </c>
      <c r="F18" t="s">
        <v>672</v>
      </c>
      <c r="G18" t="s">
        <v>693</v>
      </c>
    </row>
    <row r="19" spans="1:7">
      <c r="A19" t="s">
        <v>548</v>
      </c>
      <c r="B19" t="s">
        <v>583</v>
      </c>
      <c r="C19" t="s">
        <v>604</v>
      </c>
      <c r="D19" t="s">
        <v>634</v>
      </c>
      <c r="E19" t="s">
        <v>168</v>
      </c>
      <c r="F19" t="s">
        <v>673</v>
      </c>
      <c r="G19" t="s">
        <v>694</v>
      </c>
    </row>
    <row r="20" spans="1:7">
      <c r="A20" t="s">
        <v>549</v>
      </c>
      <c r="B20" t="s">
        <v>584</v>
      </c>
      <c r="C20" t="s">
        <v>605</v>
      </c>
      <c r="D20" t="s">
        <v>64</v>
      </c>
      <c r="E20" t="s">
        <v>164</v>
      </c>
      <c r="F20" t="s">
        <v>674</v>
      </c>
      <c r="G20" t="s">
        <v>695</v>
      </c>
    </row>
    <row r="21" spans="1:7">
      <c r="A21" t="s">
        <v>550</v>
      </c>
      <c r="B21" t="s">
        <v>585</v>
      </c>
      <c r="C21" t="s">
        <v>606</v>
      </c>
      <c r="D21" t="s">
        <v>138</v>
      </c>
      <c r="E21" t="s">
        <v>168</v>
      </c>
      <c r="F21" t="s">
        <v>675</v>
      </c>
      <c r="G21" t="s">
        <v>696</v>
      </c>
    </row>
    <row r="22" spans="1:7">
      <c r="A22" t="s">
        <v>551</v>
      </c>
      <c r="B22" t="s">
        <v>194</v>
      </c>
      <c r="C22" t="s">
        <v>607</v>
      </c>
      <c r="D22" t="s">
        <v>22</v>
      </c>
      <c r="E22" t="s">
        <v>163</v>
      </c>
      <c r="F22" t="s">
        <v>676</v>
      </c>
      <c r="G22" t="s">
        <v>697</v>
      </c>
    </row>
    <row r="23" spans="1:7">
      <c r="A23" t="s">
        <v>552</v>
      </c>
      <c r="B23" t="s">
        <v>20</v>
      </c>
      <c r="C23" t="s">
        <v>608</v>
      </c>
      <c r="D23" t="s">
        <v>634</v>
      </c>
      <c r="E23" t="s">
        <v>164</v>
      </c>
      <c r="F23" t="s">
        <v>677</v>
      </c>
      <c r="G23" t="s">
        <v>698</v>
      </c>
    </row>
    <row r="24" spans="1:7">
      <c r="A24" t="s">
        <v>553</v>
      </c>
      <c r="B24" t="s">
        <v>586</v>
      </c>
      <c r="C24" t="s">
        <v>609</v>
      </c>
      <c r="D24" t="s">
        <v>138</v>
      </c>
      <c r="E24" t="s">
        <v>168</v>
      </c>
      <c r="F24" t="s">
        <v>678</v>
      </c>
      <c r="G24" t="s">
        <v>699</v>
      </c>
    </row>
    <row r="25" spans="1:7">
      <c r="A25" t="s">
        <v>554</v>
      </c>
      <c r="B25" t="s">
        <v>184</v>
      </c>
      <c r="C25" t="s">
        <v>610</v>
      </c>
      <c r="D25" t="s">
        <v>64</v>
      </c>
      <c r="E25" t="s">
        <v>165</v>
      </c>
      <c r="F25" t="s">
        <v>679</v>
      </c>
      <c r="G25" t="s">
        <v>700</v>
      </c>
    </row>
    <row r="26" spans="1:7">
      <c r="A26" t="s">
        <v>555</v>
      </c>
      <c r="B26" t="s">
        <v>583</v>
      </c>
      <c r="C26" t="s">
        <v>49</v>
      </c>
      <c r="D26" t="s">
        <v>138</v>
      </c>
      <c r="E26" t="s">
        <v>168</v>
      </c>
      <c r="F26" t="s">
        <v>23</v>
      </c>
      <c r="G26" t="s">
        <v>701</v>
      </c>
    </row>
    <row r="27" spans="1:7">
      <c r="A27" t="s">
        <v>556</v>
      </c>
      <c r="B27" t="s">
        <v>183</v>
      </c>
      <c r="C27" t="s">
        <v>21</v>
      </c>
      <c r="D27" t="s">
        <v>22</v>
      </c>
      <c r="E27" t="s">
        <v>653</v>
      </c>
      <c r="F27" t="s">
        <v>680</v>
      </c>
      <c r="G27" t="s">
        <v>702</v>
      </c>
    </row>
    <row r="29" spans="1:7">
      <c r="A29" t="s">
        <v>557</v>
      </c>
    </row>
    <row r="30" spans="1:7">
      <c r="A30" t="s">
        <v>558</v>
      </c>
      <c r="B30" t="s">
        <v>15</v>
      </c>
      <c r="C30" t="s">
        <v>611</v>
      </c>
      <c r="D30" t="s">
        <v>635</v>
      </c>
      <c r="E30" t="s">
        <v>654</v>
      </c>
      <c r="F30" t="s">
        <v>681</v>
      </c>
    </row>
    <row r="31" spans="1:7">
      <c r="A31" t="s">
        <v>559</v>
      </c>
      <c r="B31" t="s">
        <v>587</v>
      </c>
      <c r="C31" t="s">
        <v>612</v>
      </c>
      <c r="D31" t="s">
        <v>590</v>
      </c>
      <c r="E31" t="s">
        <v>655</v>
      </c>
      <c r="F31" t="s">
        <v>682</v>
      </c>
    </row>
    <row r="32" spans="1:7">
      <c r="A32" t="s">
        <v>560</v>
      </c>
      <c r="B32" t="s">
        <v>587</v>
      </c>
      <c r="C32" t="s">
        <v>613</v>
      </c>
      <c r="D32" t="s">
        <v>636</v>
      </c>
      <c r="E32" t="s">
        <v>656</v>
      </c>
      <c r="F32" t="s">
        <v>683</v>
      </c>
    </row>
    <row r="33" spans="1:6">
      <c r="A33" t="s">
        <v>561</v>
      </c>
      <c r="B33" t="s">
        <v>587</v>
      </c>
      <c r="C33" t="s">
        <v>614</v>
      </c>
      <c r="D33" t="s">
        <v>637</v>
      </c>
      <c r="E33" t="s">
        <v>657</v>
      </c>
      <c r="F33" t="s">
        <v>684</v>
      </c>
    </row>
    <row r="34" spans="1:6">
      <c r="A34" t="s">
        <v>562</v>
      </c>
      <c r="B34" t="s">
        <v>587</v>
      </c>
      <c r="C34" t="s">
        <v>615</v>
      </c>
      <c r="D34" t="s">
        <v>638</v>
      </c>
      <c r="E34" t="s">
        <v>658</v>
      </c>
      <c r="F34" t="s">
        <v>685</v>
      </c>
    </row>
    <row r="35" spans="1:6">
      <c r="A35" t="s">
        <v>563</v>
      </c>
      <c r="B35" t="s">
        <v>587</v>
      </c>
      <c r="C35" t="s">
        <v>616</v>
      </c>
      <c r="D35" t="s">
        <v>639</v>
      </c>
      <c r="E35" t="s">
        <v>659</v>
      </c>
      <c r="F35" t="s">
        <v>686</v>
      </c>
    </row>
    <row r="36" spans="1:6">
      <c r="A36" t="s">
        <v>564</v>
      </c>
      <c r="B36" t="s">
        <v>587</v>
      </c>
      <c r="C36" t="s">
        <v>617</v>
      </c>
      <c r="D36" t="s">
        <v>640</v>
      </c>
      <c r="E36" t="s">
        <v>660</v>
      </c>
      <c r="F36" t="s">
        <v>592</v>
      </c>
    </row>
    <row r="38" spans="1:6">
      <c r="A38" t="s">
        <v>565</v>
      </c>
    </row>
    <row r="39" spans="1:6">
      <c r="A39" t="s">
        <v>2</v>
      </c>
      <c r="B39" t="s">
        <v>588</v>
      </c>
      <c r="C39" t="s">
        <v>30</v>
      </c>
      <c r="D39" t="s">
        <v>29</v>
      </c>
      <c r="E39" t="s">
        <v>661</v>
      </c>
    </row>
    <row r="40" spans="1:6">
      <c r="A40" t="s">
        <v>566</v>
      </c>
      <c r="B40" t="s">
        <v>589</v>
      </c>
      <c r="C40" t="s">
        <v>618</v>
      </c>
      <c r="D40" t="s">
        <v>641</v>
      </c>
      <c r="E40" t="s">
        <v>662</v>
      </c>
    </row>
    <row r="41" spans="1:6">
      <c r="A41" t="s">
        <v>567</v>
      </c>
      <c r="B41" t="s">
        <v>590</v>
      </c>
      <c r="C41" t="s">
        <v>619</v>
      </c>
      <c r="D41" t="s">
        <v>642</v>
      </c>
      <c r="E41" t="s">
        <v>663</v>
      </c>
    </row>
    <row r="42" spans="1:6">
      <c r="A42" t="s">
        <v>568</v>
      </c>
      <c r="B42" t="s">
        <v>591</v>
      </c>
      <c r="C42" t="s">
        <v>620</v>
      </c>
      <c r="D42" t="s">
        <v>643</v>
      </c>
      <c r="E42" t="s">
        <v>664</v>
      </c>
    </row>
    <row r="43" spans="1:6">
      <c r="A43" t="s">
        <v>569</v>
      </c>
      <c r="B43" t="s">
        <v>592</v>
      </c>
      <c r="C43" t="s">
        <v>621</v>
      </c>
      <c r="D43" t="s">
        <v>643</v>
      </c>
      <c r="E43" t="s">
        <v>665</v>
      </c>
    </row>
    <row r="44" spans="1:6">
      <c r="A44" t="s">
        <v>570</v>
      </c>
      <c r="B44" t="s">
        <v>579</v>
      </c>
      <c r="C44" t="s">
        <v>129</v>
      </c>
      <c r="D44" t="s">
        <v>643</v>
      </c>
      <c r="E44" t="s">
        <v>666</v>
      </c>
    </row>
    <row r="46" spans="1:6">
      <c r="A46" t="s">
        <v>571</v>
      </c>
    </row>
    <row r="47" spans="1:6">
      <c r="A47" t="s">
        <v>56</v>
      </c>
      <c r="B47" t="s">
        <v>593</v>
      </c>
      <c r="C47" t="s">
        <v>622</v>
      </c>
      <c r="D47" t="s">
        <v>644</v>
      </c>
    </row>
    <row r="48" spans="1:6">
      <c r="A48" t="s">
        <v>572</v>
      </c>
      <c r="B48" t="s">
        <v>594</v>
      </c>
      <c r="C48" t="s">
        <v>623</v>
      </c>
      <c r="D48" t="s">
        <v>645</v>
      </c>
    </row>
    <row r="49" spans="1:4">
      <c r="A49" t="s">
        <v>573</v>
      </c>
      <c r="B49" t="s">
        <v>595</v>
      </c>
      <c r="C49" t="s">
        <v>623</v>
      </c>
      <c r="D49" t="s">
        <v>646</v>
      </c>
    </row>
    <row r="50" spans="1:4">
      <c r="A50" t="s">
        <v>574</v>
      </c>
      <c r="B50" t="s">
        <v>596</v>
      </c>
      <c r="C50" t="s">
        <v>623</v>
      </c>
      <c r="D50" t="s">
        <v>647</v>
      </c>
    </row>
    <row r="51" spans="1:4">
      <c r="A51" t="s">
        <v>575</v>
      </c>
      <c r="B51" t="s">
        <v>597</v>
      </c>
      <c r="C51" t="s">
        <v>624</v>
      </c>
      <c r="D51" t="s">
        <v>648</v>
      </c>
    </row>
    <row r="52" spans="1:4">
      <c r="A52" t="s">
        <v>576</v>
      </c>
      <c r="B52" t="s">
        <v>598</v>
      </c>
      <c r="C52" t="s">
        <v>623</v>
      </c>
      <c r="D52" t="s">
        <v>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cols>
    <col min="1" max="1" width="30.7109375" customWidth="1"/>
    <col min="2" max="2" width="14.7109375" customWidth="1"/>
    <col min="3" max="4" width="16.7109375" customWidth="1"/>
    <col min="5" max="5" width="19.7109375" customWidth="1"/>
    <col min="6" max="6" width="16.7109375" customWidth="1"/>
    <col min="7" max="7" width="19.7109375" customWidth="1"/>
    <col min="8" max="8" width="24.7109375" customWidth="1"/>
    <col min="9" max="9" width="29.7109375" customWidth="1"/>
  </cols>
  <sheetData>
    <row r="1" spans="1:9">
      <c r="A1" t="s">
        <v>817</v>
      </c>
    </row>
    <row r="2" spans="1:9">
      <c r="A2" t="s">
        <v>704</v>
      </c>
      <c r="B2" t="s">
        <v>82</v>
      </c>
      <c r="C2" t="s">
        <v>89</v>
      </c>
      <c r="D2" t="s">
        <v>709</v>
      </c>
      <c r="E2" t="s">
        <v>712</v>
      </c>
      <c r="F2" t="s">
        <v>521</v>
      </c>
      <c r="G2" t="s">
        <v>748</v>
      </c>
      <c r="H2" t="s">
        <v>778</v>
      </c>
      <c r="I2" t="s">
        <v>661</v>
      </c>
    </row>
    <row r="3" spans="1:9">
      <c r="A3" t="s">
        <v>705</v>
      </c>
      <c r="B3" t="s">
        <v>83</v>
      </c>
      <c r="C3" t="s">
        <v>25</v>
      </c>
      <c r="D3" t="s">
        <v>256</v>
      </c>
      <c r="E3" t="s">
        <v>713</v>
      </c>
      <c r="F3" t="s">
        <v>718</v>
      </c>
      <c r="G3" t="s">
        <v>256</v>
      </c>
      <c r="H3" t="s">
        <v>779</v>
      </c>
      <c r="I3" t="s">
        <v>792</v>
      </c>
    </row>
    <row r="4" spans="1:9">
      <c r="A4" t="s">
        <v>705</v>
      </c>
      <c r="B4" t="s">
        <v>84</v>
      </c>
      <c r="C4" t="s">
        <v>17</v>
      </c>
      <c r="D4" t="s">
        <v>266</v>
      </c>
      <c r="E4" t="s">
        <v>713</v>
      </c>
      <c r="F4" t="s">
        <v>719</v>
      </c>
      <c r="G4" t="s">
        <v>749</v>
      </c>
      <c r="H4" t="s">
        <v>780</v>
      </c>
      <c r="I4" t="s">
        <v>792</v>
      </c>
    </row>
    <row r="5" spans="1:9">
      <c r="A5" t="s">
        <v>705</v>
      </c>
      <c r="B5" t="s">
        <v>85</v>
      </c>
      <c r="C5" t="s">
        <v>16</v>
      </c>
      <c r="D5" t="s">
        <v>272</v>
      </c>
      <c r="E5" t="s">
        <v>713</v>
      </c>
      <c r="F5" t="s">
        <v>720</v>
      </c>
      <c r="G5" t="s">
        <v>750</v>
      </c>
      <c r="H5" t="s">
        <v>781</v>
      </c>
      <c r="I5" t="s">
        <v>793</v>
      </c>
    </row>
    <row r="6" spans="1:9">
      <c r="A6" t="s">
        <v>705</v>
      </c>
      <c r="B6" t="s">
        <v>86</v>
      </c>
      <c r="C6" t="s">
        <v>18</v>
      </c>
      <c r="D6" t="s">
        <v>282</v>
      </c>
      <c r="E6" t="s">
        <v>713</v>
      </c>
      <c r="F6" t="s">
        <v>721</v>
      </c>
      <c r="G6" t="s">
        <v>751</v>
      </c>
      <c r="H6" t="s">
        <v>782</v>
      </c>
      <c r="I6" t="s">
        <v>794</v>
      </c>
    </row>
    <row r="7" spans="1:9">
      <c r="A7" t="s">
        <v>705</v>
      </c>
      <c r="B7" t="s">
        <v>87</v>
      </c>
      <c r="C7" t="s">
        <v>90</v>
      </c>
      <c r="D7" t="s">
        <v>134</v>
      </c>
      <c r="E7" t="s">
        <v>713</v>
      </c>
      <c r="F7" t="s">
        <v>722</v>
      </c>
      <c r="G7" t="s">
        <v>752</v>
      </c>
      <c r="H7" t="s">
        <v>783</v>
      </c>
      <c r="I7" t="s">
        <v>795</v>
      </c>
    </row>
    <row r="8" spans="1:9">
      <c r="A8" t="s">
        <v>705</v>
      </c>
      <c r="B8" t="s">
        <v>88</v>
      </c>
      <c r="C8" t="s">
        <v>91</v>
      </c>
      <c r="D8" t="s">
        <v>280</v>
      </c>
      <c r="E8" t="s">
        <v>713</v>
      </c>
      <c r="F8" t="s">
        <v>723</v>
      </c>
      <c r="G8" t="s">
        <v>753</v>
      </c>
      <c r="H8" t="s">
        <v>784</v>
      </c>
      <c r="I8" t="s">
        <v>796</v>
      </c>
    </row>
    <row r="9" spans="1:9">
      <c r="A9" t="s">
        <v>706</v>
      </c>
      <c r="B9" t="s">
        <v>83</v>
      </c>
      <c r="C9" t="s">
        <v>25</v>
      </c>
      <c r="D9" t="s">
        <v>257</v>
      </c>
      <c r="E9" t="s">
        <v>714</v>
      </c>
      <c r="F9" t="s">
        <v>724</v>
      </c>
      <c r="G9" t="s">
        <v>754</v>
      </c>
      <c r="H9" t="s">
        <v>785</v>
      </c>
      <c r="I9" t="s">
        <v>792</v>
      </c>
    </row>
    <row r="10" spans="1:9">
      <c r="A10" t="s">
        <v>706</v>
      </c>
      <c r="B10" t="s">
        <v>84</v>
      </c>
      <c r="C10" t="s">
        <v>17</v>
      </c>
      <c r="D10" t="s">
        <v>267</v>
      </c>
      <c r="E10" t="s">
        <v>714</v>
      </c>
      <c r="F10" t="s">
        <v>725</v>
      </c>
      <c r="G10" t="s">
        <v>755</v>
      </c>
      <c r="H10" t="s">
        <v>780</v>
      </c>
      <c r="I10" t="s">
        <v>792</v>
      </c>
    </row>
    <row r="11" spans="1:9">
      <c r="A11" t="s">
        <v>706</v>
      </c>
      <c r="B11" t="s">
        <v>85</v>
      </c>
      <c r="C11" t="s">
        <v>16</v>
      </c>
      <c r="D11" t="s">
        <v>273</v>
      </c>
      <c r="E11" t="s">
        <v>714</v>
      </c>
      <c r="F11" t="s">
        <v>726</v>
      </c>
      <c r="G11" t="s">
        <v>756</v>
      </c>
      <c r="H11" t="s">
        <v>781</v>
      </c>
      <c r="I11" t="s">
        <v>797</v>
      </c>
    </row>
    <row r="12" spans="1:9">
      <c r="A12" t="s">
        <v>706</v>
      </c>
      <c r="B12" t="s">
        <v>86</v>
      </c>
      <c r="C12" t="s">
        <v>18</v>
      </c>
      <c r="D12" t="s">
        <v>283</v>
      </c>
      <c r="E12" t="s">
        <v>714</v>
      </c>
      <c r="F12" t="s">
        <v>727</v>
      </c>
      <c r="G12" t="s">
        <v>757</v>
      </c>
      <c r="H12" t="s">
        <v>782</v>
      </c>
      <c r="I12" t="s">
        <v>798</v>
      </c>
    </row>
    <row r="13" spans="1:9">
      <c r="A13" t="s">
        <v>706</v>
      </c>
      <c r="B13" t="s">
        <v>87</v>
      </c>
      <c r="C13" t="s">
        <v>90</v>
      </c>
      <c r="D13" t="s">
        <v>218</v>
      </c>
      <c r="E13" t="s">
        <v>714</v>
      </c>
      <c r="F13" t="s">
        <v>728</v>
      </c>
      <c r="G13" t="s">
        <v>758</v>
      </c>
      <c r="H13" t="s">
        <v>786</v>
      </c>
      <c r="I13" t="s">
        <v>799</v>
      </c>
    </row>
    <row r="14" spans="1:9">
      <c r="A14" t="s">
        <v>706</v>
      </c>
      <c r="B14" t="s">
        <v>88</v>
      </c>
      <c r="C14" t="s">
        <v>91</v>
      </c>
      <c r="D14" t="s">
        <v>272</v>
      </c>
      <c r="E14" t="s">
        <v>714</v>
      </c>
      <c r="F14" t="s">
        <v>729</v>
      </c>
      <c r="G14" t="s">
        <v>759</v>
      </c>
      <c r="H14" t="s">
        <v>784</v>
      </c>
      <c r="I14" t="s">
        <v>800</v>
      </c>
    </row>
    <row r="15" spans="1:9">
      <c r="A15" t="s">
        <v>707</v>
      </c>
      <c r="B15" t="s">
        <v>83</v>
      </c>
      <c r="C15" t="s">
        <v>25</v>
      </c>
      <c r="D15" t="s">
        <v>258</v>
      </c>
      <c r="E15" t="s">
        <v>715</v>
      </c>
      <c r="F15" t="s">
        <v>730</v>
      </c>
      <c r="G15" t="s">
        <v>760</v>
      </c>
      <c r="H15" t="s">
        <v>785</v>
      </c>
      <c r="I15" t="s">
        <v>801</v>
      </c>
    </row>
    <row r="16" spans="1:9">
      <c r="A16" t="s">
        <v>707</v>
      </c>
      <c r="B16" t="s">
        <v>84</v>
      </c>
      <c r="C16" t="s">
        <v>17</v>
      </c>
      <c r="D16" t="s">
        <v>268</v>
      </c>
      <c r="E16" t="s">
        <v>715</v>
      </c>
      <c r="F16" t="s">
        <v>731</v>
      </c>
      <c r="G16" t="s">
        <v>761</v>
      </c>
      <c r="H16" t="s">
        <v>787</v>
      </c>
      <c r="I16" t="s">
        <v>802</v>
      </c>
    </row>
    <row r="17" spans="1:9">
      <c r="A17" t="s">
        <v>707</v>
      </c>
      <c r="B17" t="s">
        <v>85</v>
      </c>
      <c r="C17" t="s">
        <v>16</v>
      </c>
      <c r="D17" t="s">
        <v>274</v>
      </c>
      <c r="E17" t="s">
        <v>715</v>
      </c>
      <c r="F17" t="s">
        <v>732</v>
      </c>
      <c r="G17" t="s">
        <v>762</v>
      </c>
      <c r="H17" t="s">
        <v>781</v>
      </c>
      <c r="I17" t="s">
        <v>803</v>
      </c>
    </row>
    <row r="18" spans="1:9">
      <c r="A18" t="s">
        <v>707</v>
      </c>
      <c r="B18" t="s">
        <v>86</v>
      </c>
      <c r="C18" t="s">
        <v>18</v>
      </c>
      <c r="D18" t="s">
        <v>284</v>
      </c>
      <c r="E18" t="s">
        <v>715</v>
      </c>
      <c r="F18" t="s">
        <v>733</v>
      </c>
      <c r="G18" t="s">
        <v>763</v>
      </c>
      <c r="H18" t="s">
        <v>788</v>
      </c>
      <c r="I18" t="s">
        <v>804</v>
      </c>
    </row>
    <row r="19" spans="1:9">
      <c r="A19" t="s">
        <v>707</v>
      </c>
      <c r="B19" t="s">
        <v>87</v>
      </c>
      <c r="C19" t="s">
        <v>90</v>
      </c>
      <c r="D19" t="s">
        <v>710</v>
      </c>
      <c r="E19" t="s">
        <v>715</v>
      </c>
      <c r="F19" t="s">
        <v>734</v>
      </c>
      <c r="G19" t="s">
        <v>764</v>
      </c>
      <c r="H19" t="s">
        <v>789</v>
      </c>
      <c r="I19" t="s">
        <v>805</v>
      </c>
    </row>
    <row r="20" spans="1:9">
      <c r="A20" t="s">
        <v>707</v>
      </c>
      <c r="B20" t="s">
        <v>88</v>
      </c>
      <c r="C20" t="s">
        <v>91</v>
      </c>
      <c r="D20" t="s">
        <v>278</v>
      </c>
      <c r="E20" t="s">
        <v>715</v>
      </c>
      <c r="F20" t="s">
        <v>735</v>
      </c>
      <c r="G20" t="s">
        <v>765</v>
      </c>
      <c r="H20" t="s">
        <v>790</v>
      </c>
      <c r="I20" t="s">
        <v>806</v>
      </c>
    </row>
    <row r="21" spans="1:9">
      <c r="A21" t="s">
        <v>369</v>
      </c>
      <c r="B21" t="s">
        <v>83</v>
      </c>
      <c r="C21" t="s">
        <v>25</v>
      </c>
      <c r="D21" t="s">
        <v>259</v>
      </c>
      <c r="E21" t="s">
        <v>716</v>
      </c>
      <c r="F21" t="s">
        <v>736</v>
      </c>
      <c r="G21" t="s">
        <v>766</v>
      </c>
      <c r="H21" t="s">
        <v>785</v>
      </c>
      <c r="I21" t="s">
        <v>792</v>
      </c>
    </row>
    <row r="22" spans="1:9">
      <c r="A22" t="s">
        <v>369</v>
      </c>
      <c r="B22" t="s">
        <v>84</v>
      </c>
      <c r="C22" t="s">
        <v>17</v>
      </c>
      <c r="D22" t="s">
        <v>256</v>
      </c>
      <c r="E22" t="s">
        <v>716</v>
      </c>
      <c r="F22" t="s">
        <v>737</v>
      </c>
      <c r="G22" t="s">
        <v>767</v>
      </c>
      <c r="H22" t="s">
        <v>787</v>
      </c>
      <c r="I22" t="s">
        <v>807</v>
      </c>
    </row>
    <row r="23" spans="1:9">
      <c r="A23" t="s">
        <v>369</v>
      </c>
      <c r="B23" t="s">
        <v>85</v>
      </c>
      <c r="C23" t="s">
        <v>16</v>
      </c>
      <c r="D23" t="s">
        <v>275</v>
      </c>
      <c r="E23" t="s">
        <v>716</v>
      </c>
      <c r="F23" t="s">
        <v>738</v>
      </c>
      <c r="G23" t="s">
        <v>768</v>
      </c>
      <c r="H23" t="s">
        <v>781</v>
      </c>
      <c r="I23" t="s">
        <v>808</v>
      </c>
    </row>
    <row r="24" spans="1:9">
      <c r="A24" t="s">
        <v>369</v>
      </c>
      <c r="B24" t="s">
        <v>86</v>
      </c>
      <c r="C24" t="s">
        <v>18</v>
      </c>
      <c r="D24" t="s">
        <v>285</v>
      </c>
      <c r="E24" t="s">
        <v>716</v>
      </c>
      <c r="F24" t="s">
        <v>739</v>
      </c>
      <c r="G24" t="s">
        <v>769</v>
      </c>
      <c r="H24" t="s">
        <v>788</v>
      </c>
      <c r="I24" t="s">
        <v>809</v>
      </c>
    </row>
    <row r="25" spans="1:9">
      <c r="A25" t="s">
        <v>369</v>
      </c>
      <c r="B25" t="s">
        <v>87</v>
      </c>
      <c r="C25" t="s">
        <v>90</v>
      </c>
      <c r="D25" t="s">
        <v>711</v>
      </c>
      <c r="E25" t="s">
        <v>716</v>
      </c>
      <c r="F25" t="s">
        <v>740</v>
      </c>
      <c r="G25" t="s">
        <v>770</v>
      </c>
      <c r="H25" t="s">
        <v>789</v>
      </c>
      <c r="I25" t="s">
        <v>810</v>
      </c>
    </row>
    <row r="26" spans="1:9">
      <c r="A26" t="s">
        <v>369</v>
      </c>
      <c r="B26" t="s">
        <v>88</v>
      </c>
      <c r="C26" t="s">
        <v>91</v>
      </c>
      <c r="D26" t="s">
        <v>279</v>
      </c>
      <c r="E26" t="s">
        <v>716</v>
      </c>
      <c r="F26" t="s">
        <v>741</v>
      </c>
      <c r="G26" t="s">
        <v>771</v>
      </c>
      <c r="H26" t="s">
        <v>790</v>
      </c>
      <c r="I26" t="s">
        <v>811</v>
      </c>
    </row>
    <row r="27" spans="1:9">
      <c r="A27" t="s">
        <v>708</v>
      </c>
      <c r="B27" t="s">
        <v>83</v>
      </c>
      <c r="C27" t="s">
        <v>25</v>
      </c>
      <c r="D27" t="s">
        <v>260</v>
      </c>
      <c r="E27" t="s">
        <v>717</v>
      </c>
      <c r="F27" t="s">
        <v>742</v>
      </c>
      <c r="G27" t="s">
        <v>772</v>
      </c>
      <c r="H27" t="s">
        <v>787</v>
      </c>
      <c r="I27" t="s">
        <v>812</v>
      </c>
    </row>
    <row r="28" spans="1:9">
      <c r="A28" t="s">
        <v>708</v>
      </c>
      <c r="B28" t="s">
        <v>84</v>
      </c>
      <c r="C28" t="s">
        <v>17</v>
      </c>
      <c r="D28" t="s">
        <v>257</v>
      </c>
      <c r="E28" t="s">
        <v>717</v>
      </c>
      <c r="F28" t="s">
        <v>743</v>
      </c>
      <c r="G28" t="s">
        <v>773</v>
      </c>
      <c r="H28" t="s">
        <v>780</v>
      </c>
      <c r="I28" t="s">
        <v>813</v>
      </c>
    </row>
    <row r="29" spans="1:9">
      <c r="A29" t="s">
        <v>708</v>
      </c>
      <c r="B29" t="s">
        <v>85</v>
      </c>
      <c r="C29" t="s">
        <v>16</v>
      </c>
      <c r="D29" t="s">
        <v>276</v>
      </c>
      <c r="E29" t="s">
        <v>717</v>
      </c>
      <c r="F29" t="s">
        <v>744</v>
      </c>
      <c r="G29" t="s">
        <v>774</v>
      </c>
      <c r="H29" t="s">
        <v>781</v>
      </c>
      <c r="I29" t="s">
        <v>814</v>
      </c>
    </row>
    <row r="30" spans="1:9">
      <c r="A30" t="s">
        <v>708</v>
      </c>
      <c r="B30" t="s">
        <v>86</v>
      </c>
      <c r="C30" t="s">
        <v>18</v>
      </c>
      <c r="D30" t="s">
        <v>282</v>
      </c>
      <c r="E30" t="s">
        <v>717</v>
      </c>
      <c r="F30" t="s">
        <v>745</v>
      </c>
      <c r="G30" t="s">
        <v>775</v>
      </c>
      <c r="H30" t="s">
        <v>782</v>
      </c>
      <c r="I30" t="s">
        <v>815</v>
      </c>
    </row>
    <row r="31" spans="1:9">
      <c r="A31" t="s">
        <v>708</v>
      </c>
      <c r="B31" t="s">
        <v>87</v>
      </c>
      <c r="C31" t="s">
        <v>90</v>
      </c>
      <c r="D31" t="s">
        <v>509</v>
      </c>
      <c r="E31" t="s">
        <v>717</v>
      </c>
      <c r="F31" t="s">
        <v>746</v>
      </c>
      <c r="G31" t="s">
        <v>776</v>
      </c>
      <c r="H31" t="s">
        <v>791</v>
      </c>
      <c r="I31" t="s">
        <v>426</v>
      </c>
    </row>
    <row r="32" spans="1:9">
      <c r="A32" t="s">
        <v>708</v>
      </c>
      <c r="B32" t="s">
        <v>88</v>
      </c>
      <c r="C32" t="s">
        <v>91</v>
      </c>
      <c r="D32" t="s">
        <v>281</v>
      </c>
      <c r="E32" t="s">
        <v>717</v>
      </c>
      <c r="F32" t="s">
        <v>747</v>
      </c>
      <c r="G32" t="s">
        <v>777</v>
      </c>
      <c r="H32" t="s">
        <v>784</v>
      </c>
      <c r="I32" t="s">
        <v>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35.7109375" customWidth="1"/>
    <col min="2" max="2" width="50.7109375" customWidth="1"/>
    <col min="3" max="3" width="40.7109375" customWidth="1"/>
    <col min="4" max="4" width="50.7109375" customWidth="1"/>
  </cols>
  <sheetData>
    <row r="1" spans="1:4">
      <c r="A1" t="s">
        <v>884</v>
      </c>
    </row>
    <row r="2" spans="1:4">
      <c r="A2" t="s">
        <v>818</v>
      </c>
      <c r="B2" t="s">
        <v>839</v>
      </c>
      <c r="C2" t="s">
        <v>853</v>
      </c>
      <c r="D2" t="s">
        <v>867</v>
      </c>
    </row>
    <row r="3" spans="1:4">
      <c r="A3" t="s">
        <v>36</v>
      </c>
      <c r="B3">
        <f> Operating Hours / (Operating Hours + Downtime Hours)</f>
        <v>0</v>
      </c>
      <c r="C3" t="s">
        <v>854</v>
      </c>
      <c r="D3" t="s">
        <v>868</v>
      </c>
    </row>
    <row r="4" spans="1:4">
      <c r="A4" t="s">
        <v>819</v>
      </c>
      <c r="B4">
        <f> Operating Hours / Number of Failures</f>
        <v>0</v>
      </c>
      <c r="C4" t="s">
        <v>855</v>
      </c>
      <c r="D4" t="s">
        <v>869</v>
      </c>
    </row>
    <row r="5" spans="1:4">
      <c r="A5" t="s">
        <v>820</v>
      </c>
      <c r="B5">
        <f> Total Repair Hours / Number of Failures</f>
        <v>0</v>
      </c>
      <c r="C5" t="s">
        <v>856</v>
      </c>
      <c r="D5" t="s">
        <v>870</v>
      </c>
    </row>
    <row r="6" spans="1:4">
      <c r="A6" t="s">
        <v>821</v>
      </c>
      <c r="B6">
        <f> MTBF / (MTBF + MTTR) * 100</f>
        <v>0</v>
      </c>
      <c r="C6">
        <f> G5/(G5+I5)*100</f>
        <v>0</v>
      </c>
      <c r="D6" t="s">
        <v>871</v>
      </c>
    </row>
    <row r="7" spans="1:4">
      <c r="A7" t="s">
        <v>822</v>
      </c>
      <c r="B7">
        <f> (Uptime Score*0.4) + (MTBF Score*0.3) + (MTTR Score*0.2) + (Efficiency*0.1)</f>
        <v>0</v>
      </c>
      <c r="C7" t="s">
        <v>857</v>
      </c>
      <c r="D7" t="s">
        <v>872</v>
      </c>
    </row>
    <row r="8" spans="1:4">
      <c r="A8" t="s">
        <v>823</v>
      </c>
      <c r="B8">
        <f> Total Cost / Operating Hours</f>
        <v>0</v>
      </c>
      <c r="C8">
        <f> K5/D5</f>
        <v>0</v>
      </c>
      <c r="D8" t="s">
        <v>873</v>
      </c>
    </row>
    <row r="9" spans="1:4">
      <c r="A9" t="s">
        <v>824</v>
      </c>
      <c r="B9">
        <f> Fuel Usage / Operating Hours</f>
        <v>0</v>
      </c>
      <c r="C9">
        <f> J5/D5</f>
        <v>0</v>
      </c>
      <c r="D9" t="s">
        <v>874</v>
      </c>
    </row>
    <row r="10" spans="1:4">
      <c r="A10" t="s">
        <v>825</v>
      </c>
      <c r="B10">
        <f> Total Maintenance Cost / Number of Failures</f>
        <v>0</v>
      </c>
      <c r="C10">
        <f> Total Cost/Failures</f>
        <v>0</v>
      </c>
      <c r="D10" t="s">
        <v>875</v>
      </c>
    </row>
    <row r="11" spans="1:4">
      <c r="A11" t="s">
        <v>566</v>
      </c>
      <c r="B11">
        <f> Scheduled Maintenance Hours / Total Maintenance Hours * 100</f>
        <v>0</v>
      </c>
      <c r="C11">
        <f> Preventive/(Preventive+Reactive)*100</f>
        <v>0</v>
      </c>
      <c r="D11" t="s">
        <v>876</v>
      </c>
    </row>
    <row r="12" spans="1:4">
      <c r="A12" t="s">
        <v>826</v>
      </c>
      <c r="B12">
        <f> (Current Month - Previous Month) / Previous Month * 100</f>
        <v>0</v>
      </c>
      <c r="C12">
        <f>(Current-Previous)/Previous*100</f>
        <v>0</v>
      </c>
      <c r="D12" t="s">
        <v>877</v>
      </c>
    </row>
    <row r="14" spans="1:4">
      <c r="A14" t="s">
        <v>827</v>
      </c>
    </row>
    <row r="15" spans="1:4">
      <c r="A15" t="s">
        <v>2</v>
      </c>
      <c r="B15" t="s">
        <v>840</v>
      </c>
      <c r="C15" t="s">
        <v>858</v>
      </c>
      <c r="D15" t="s">
        <v>878</v>
      </c>
    </row>
    <row r="16" spans="1:4">
      <c r="A16" t="s">
        <v>36</v>
      </c>
      <c r="B16" t="s">
        <v>841</v>
      </c>
      <c r="C16" t="s">
        <v>859</v>
      </c>
      <c r="D16" t="s">
        <v>879</v>
      </c>
    </row>
    <row r="17" spans="1:4">
      <c r="A17" t="s">
        <v>214</v>
      </c>
      <c r="B17" t="s">
        <v>841</v>
      </c>
      <c r="C17" t="s">
        <v>860</v>
      </c>
      <c r="D17" t="s">
        <v>880</v>
      </c>
    </row>
    <row r="18" spans="1:4">
      <c r="A18" t="s">
        <v>245</v>
      </c>
      <c r="B18" t="s">
        <v>842</v>
      </c>
      <c r="C18" t="s">
        <v>861</v>
      </c>
      <c r="D18" t="s">
        <v>881</v>
      </c>
    </row>
    <row r="19" spans="1:4">
      <c r="A19" t="s">
        <v>828</v>
      </c>
      <c r="B19" t="s">
        <v>843</v>
      </c>
      <c r="C19" t="s">
        <v>862</v>
      </c>
      <c r="D19" t="s">
        <v>882</v>
      </c>
    </row>
    <row r="20" spans="1:4">
      <c r="A20" t="s">
        <v>829</v>
      </c>
      <c r="B20" t="s">
        <v>844</v>
      </c>
      <c r="C20" t="s">
        <v>863</v>
      </c>
      <c r="D20" t="s">
        <v>883</v>
      </c>
    </row>
    <row r="22" spans="1:4">
      <c r="A22" t="s">
        <v>830</v>
      </c>
    </row>
    <row r="23" spans="1:4">
      <c r="A23" t="s">
        <v>831</v>
      </c>
      <c r="B23" t="s">
        <v>845</v>
      </c>
      <c r="C23" t="s">
        <v>864</v>
      </c>
    </row>
    <row r="24" spans="1:4">
      <c r="A24" t="s">
        <v>832</v>
      </c>
      <c r="B24" t="s">
        <v>846</v>
      </c>
      <c r="C24" t="s">
        <v>865</v>
      </c>
    </row>
    <row r="25" spans="1:4">
      <c r="A25" t="s">
        <v>833</v>
      </c>
      <c r="B25" t="s">
        <v>847</v>
      </c>
      <c r="C25" t="s">
        <v>865</v>
      </c>
    </row>
    <row r="26" spans="1:4">
      <c r="A26" t="s">
        <v>834</v>
      </c>
      <c r="B26" t="s">
        <v>848</v>
      </c>
      <c r="C26" t="s">
        <v>866</v>
      </c>
    </row>
    <row r="27" spans="1:4">
      <c r="A27" t="s">
        <v>835</v>
      </c>
      <c r="B27" t="s">
        <v>849</v>
      </c>
      <c r="C27" t="s">
        <v>865</v>
      </c>
    </row>
    <row r="28" spans="1:4">
      <c r="A28" t="s">
        <v>836</v>
      </c>
      <c r="B28" t="s">
        <v>850</v>
      </c>
      <c r="C28" t="s">
        <v>866</v>
      </c>
    </row>
    <row r="29" spans="1:4">
      <c r="A29" t="s">
        <v>837</v>
      </c>
      <c r="B29" t="s">
        <v>851</v>
      </c>
      <c r="C29" t="s">
        <v>866</v>
      </c>
    </row>
    <row r="30" spans="1:4">
      <c r="A30" t="s">
        <v>838</v>
      </c>
      <c r="B30" t="s">
        <v>852</v>
      </c>
      <c r="C30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Equipment Master</vt:lpstr>
      <vt:lpstr>Monthly Performance</vt:lpstr>
      <vt:lpstr>Failure Log</vt:lpstr>
      <vt:lpstr>KPI Analysis</vt:lpstr>
      <vt:lpstr>Fuel Tracking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2025-12-09T22:24:16Z</dcterms:created>
  <dcterms:modified xsi:type="dcterms:W3CDTF">2025-12-09T22:24:16Z</dcterms:modified>
</cp:coreProperties>
</file>